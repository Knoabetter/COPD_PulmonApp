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adi\COPD_DataExtractor\PulmonApp\"/>
    </mc:Choice>
  </mc:AlternateContent>
  <xr:revisionPtr revIDLastSave="0" documentId="13_ncr:1_{2601D1B1-A70A-41F5-97CD-29A3159E3546}" xr6:coauthVersionLast="47" xr6:coauthVersionMax="47" xr10:uidLastSave="{00000000-0000-0000-0000-000000000000}"/>
  <bookViews>
    <workbookView xWindow="28680" yWindow="-5115" windowWidth="29040" windowHeight="15720" xr2:uid="{73F1635A-14F7-4F35-83A9-B4221FF64261}"/>
  </bookViews>
  <sheets>
    <sheet name="FEV1 males" sheetId="1" r:id="rId1"/>
    <sheet name="FVC males" sheetId="2" r:id="rId2"/>
    <sheet name="FEV1FVC males" sheetId="3" r:id="rId3"/>
    <sheet name="FEF2575 males" sheetId="4" r:id="rId4"/>
    <sheet name="FEF75 males" sheetId="5" r:id="rId5"/>
    <sheet name="FEV1 females" sheetId="6" r:id="rId6"/>
    <sheet name="FVC females" sheetId="7" r:id="rId7"/>
    <sheet name="FEV1FVC females" sheetId="8" r:id="rId8"/>
    <sheet name="FEF2575 females" sheetId="9" r:id="rId9"/>
    <sheet name="FEF75 females" sheetId="10" r:id="rId10"/>
    <sheet name="FEV075 males" sheetId="11" r:id="rId11"/>
    <sheet name="FEV075 females" sheetId="12" r:id="rId12"/>
    <sheet name="FEV075FVC males" sheetId="13" r:id="rId13"/>
    <sheet name="FEV075FVC females" sheetId="14" r:id="rId14"/>
    <sheet name="גיליון1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1" l="1"/>
  <c r="S8" i="1"/>
</calcChain>
</file>

<file path=xl/sharedStrings.xml><?xml version="1.0" encoding="utf-8"?>
<sst xmlns="http://schemas.openxmlformats.org/spreadsheetml/2006/main" count="1096" uniqueCount="178">
  <si>
    <t>age</t>
  </si>
  <si>
    <t>Intercept</t>
  </si>
  <si>
    <t>a0</t>
  </si>
  <si>
    <t>a1</t>
  </si>
  <si>
    <t>a2</t>
  </si>
  <si>
    <t>a3</t>
  </si>
  <si>
    <t>a4</t>
  </si>
  <si>
    <t>For 3-25 years:</t>
  </si>
  <si>
    <t>b0</t>
  </si>
  <si>
    <t>b1</t>
  </si>
  <si>
    <t>b2</t>
  </si>
  <si>
    <t>b3</t>
  </si>
  <si>
    <t>b4</t>
  </si>
  <si>
    <t>b5</t>
  </si>
  <si>
    <t>c0</t>
  </si>
  <si>
    <t>c1</t>
  </si>
  <si>
    <t>c2</t>
  </si>
  <si>
    <t>c3</t>
  </si>
  <si>
    <t>c4</t>
  </si>
  <si>
    <t>c5</t>
  </si>
  <si>
    <t>d0</t>
  </si>
  <si>
    <t>d1</t>
  </si>
  <si>
    <t>d2</t>
  </si>
  <si>
    <t>d3</t>
  </si>
  <si>
    <t>d4</t>
  </si>
  <si>
    <t>d5</t>
  </si>
  <si>
    <t>spline</t>
  </si>
  <si>
    <t>p0</t>
  </si>
  <si>
    <t>p1</t>
  </si>
  <si>
    <t>p2</t>
  </si>
  <si>
    <t>p3</t>
  </si>
  <si>
    <t>q0</t>
  </si>
  <si>
    <t>q1</t>
  </si>
  <si>
    <t>Mspline</t>
  </si>
  <si>
    <t>Sspline</t>
  </si>
  <si>
    <t>Lspline</t>
  </si>
  <si>
    <t>L = q0 + q1*ln(Age) + Lspline</t>
  </si>
  <si>
    <r>
      <t>LLN (5</t>
    </r>
    <r>
      <rPr>
        <vertAlign val="superscript"/>
        <sz val="9"/>
        <color indexed="8"/>
        <rFont val="Calibri"/>
        <family val="2"/>
      </rPr>
      <t>th</t>
    </r>
    <r>
      <rPr>
        <sz val="9"/>
        <color indexed="8"/>
        <rFont val="Calibri"/>
        <family val="2"/>
      </rPr>
      <t xml:space="preserve"> percentile) = exp(ln(1 - 1.645*L*S)/L +ln(M))</t>
    </r>
  </si>
  <si>
    <t>a5</t>
  </si>
  <si>
    <t>d6</t>
  </si>
  <si>
    <t>d7</t>
  </si>
  <si>
    <t>M</t>
  </si>
  <si>
    <t>S</t>
  </si>
  <si>
    <t>L</t>
  </si>
  <si>
    <t>p4</t>
  </si>
  <si>
    <t>Linearly interpolate Mspline, Sspline and Lspline for appropriate age (e.g. 4.3 yr) from look-up tables</t>
  </si>
  <si>
    <t xml:space="preserve">L = q0 </t>
  </si>
  <si>
    <t>Coefficients</t>
  </si>
  <si>
    <t>Age</t>
  </si>
  <si>
    <t>Height</t>
  </si>
  <si>
    <t>Afr. Am.</t>
  </si>
  <si>
    <t>N East Asia</t>
  </si>
  <si>
    <t>S East Asia</t>
  </si>
  <si>
    <t>Sspline = c0 + c1*(Age/100) + c2*(Age/100)^2 + c3*(Age/100)^3 + c4*(Age/100)^4 + c5*(Age/100)^5</t>
  </si>
  <si>
    <r>
      <rPr>
        <b/>
        <sz val="9"/>
        <color indexed="12"/>
        <rFont val="Calibri"/>
        <family val="2"/>
      </rPr>
      <t>For 25-95 years</t>
    </r>
    <r>
      <rPr>
        <sz val="9"/>
        <color indexed="12"/>
        <rFont val="Calibri"/>
        <family val="2"/>
      </rPr>
      <t xml:space="preserve"> (you can use exact age without interpolation, e.g. 43.6 yr):</t>
    </r>
  </si>
  <si>
    <t>Lspline = d0 + d1*(Age/100) + d2*(Age/100)^2 + d3*(Age/100)^3 + d4*(Age/100)^4 + d5*(Age/100)^5 + d6*(Age/100)^6 + d7*(Age/100)^7</t>
  </si>
  <si>
    <t xml:space="preserve">lm(formula = Mspline ~ age + I(age^2) + I(age^3) + I(age^4) + </t>
  </si>
  <si>
    <t xml:space="preserve">lm(formula = Sspline ~ age + I(age^2) + I(age^3) + I(age^4) + </t>
  </si>
  <si>
    <t xml:space="preserve">    I(age^5), data = x)</t>
  </si>
  <si>
    <t>Residuals:</t>
  </si>
  <si>
    <t xml:space="preserve">       Min         1Q     Median         3Q        Max </t>
  </si>
  <si>
    <t>Coefficients:</t>
  </si>
  <si>
    <t xml:space="preserve">             Estimate Std. Error t value Pr(&gt;|t|)    </t>
  </si>
  <si>
    <t xml:space="preserve">            Estimate Std. Error t value Pr(&gt;|t|)    </t>
  </si>
  <si>
    <t>---</t>
  </si>
  <si>
    <t xml:space="preserve">Signif. codes:  0 ‘***’ 0.001 ‘**’ 0.01 ‘*’ 0.05 ‘.’ 0.1 ‘ ’ 1 </t>
  </si>
  <si>
    <t xml:space="preserve">Multiple R-squared:     1,      Adjusted R-squared:     1 </t>
  </si>
  <si>
    <t>Age/100</t>
  </si>
  <si>
    <r>
      <t>(Age/100)</t>
    </r>
    <r>
      <rPr>
        <vertAlign val="superscript"/>
        <sz val="9"/>
        <color indexed="8"/>
        <rFont val="Calibri"/>
        <family val="2"/>
      </rPr>
      <t>2</t>
    </r>
  </si>
  <si>
    <r>
      <t>(Age/100)</t>
    </r>
    <r>
      <rPr>
        <vertAlign val="superscript"/>
        <sz val="9"/>
        <color indexed="8"/>
        <rFont val="Calibri"/>
        <family val="2"/>
      </rPr>
      <t>3</t>
    </r>
  </si>
  <si>
    <r>
      <t>(Age/100)</t>
    </r>
    <r>
      <rPr>
        <vertAlign val="superscript"/>
        <sz val="9"/>
        <color indexed="8"/>
        <rFont val="Calibri"/>
        <family val="2"/>
      </rPr>
      <t>4</t>
    </r>
  </si>
  <si>
    <r>
      <t>(Age/100)</t>
    </r>
    <r>
      <rPr>
        <vertAlign val="superscript"/>
        <sz val="9"/>
        <color indexed="8"/>
        <rFont val="Calibri"/>
        <family val="2"/>
      </rPr>
      <t>5</t>
    </r>
  </si>
  <si>
    <r>
      <t>(Age/100)</t>
    </r>
    <r>
      <rPr>
        <vertAlign val="superscript"/>
        <sz val="9"/>
        <color indexed="8"/>
        <rFont val="Calibri"/>
        <family val="2"/>
      </rPr>
      <t>6</t>
    </r>
  </si>
  <si>
    <t>S =  exp(p0 + p1*ln(Age) + p2*AfrAm + p3*NEAsia + p4*SEAsia + Sspline)</t>
  </si>
  <si>
    <t>M =  exp(a0 + a1*ln(Height) + a2*ln(Age) + a3*AfrAm + a4*NEAsia + a5*SEAsia + Mspline)</t>
  </si>
  <si>
    <t>AfrAm</t>
  </si>
  <si>
    <t>1 if African American, else 0</t>
  </si>
  <si>
    <t>NEAsia</t>
  </si>
  <si>
    <t>1 if North East Asian, else 0</t>
  </si>
  <si>
    <t>SEAsia</t>
  </si>
  <si>
    <t>1 if South East Asian, else 0</t>
  </si>
  <si>
    <t>Height in cm, with one decimal</t>
  </si>
  <si>
    <r>
      <t xml:space="preserve">Age in years with </t>
    </r>
    <r>
      <rPr>
        <u/>
        <sz val="9"/>
        <color indexed="8"/>
        <rFont val="Calibri"/>
        <family val="2"/>
      </rPr>
      <t>&gt;</t>
    </r>
    <r>
      <rPr>
        <sz val="9"/>
        <color indexed="8"/>
        <rFont val="Calibri"/>
        <family val="2"/>
      </rPr>
      <t xml:space="preserve"> 1 or more decimals</t>
    </r>
  </si>
  <si>
    <t>x &lt;- temp[temp$white == 1, ]</t>
  </si>
  <si>
    <t>x &lt;- x[x$age &gt;= 20, ]</t>
  </si>
  <si>
    <t>x$age &lt;- x$age/100</t>
  </si>
  <si>
    <t>x1 &lt;- lm(Mspline ~ age +I(age^2) + I(age^3) + I(age^4) + I(age^5), data = x)</t>
  </si>
  <si>
    <t>x1 &lt;- lm(Sspline ~ age +I(age^2) + I(age^3) + I(age^4) + I(age^5), data = x)</t>
  </si>
  <si>
    <t>summary(x1)</t>
  </si>
  <si>
    <t>x1 &lt;- lm(Lspline ~ age +I(age^2) + I(age^3) + I(age^4) + I(age^5), data = x)</t>
  </si>
  <si>
    <t xml:space="preserve">lm(formula = Lspline ~ age + I(age^2) + I(age^3) + I(age^4) + </t>
  </si>
  <si>
    <t xml:space="preserve">Multiple R-squared: 0.9999,     Adjusted R-squared: 0.9999 </t>
  </si>
  <si>
    <t xml:space="preserve">-0.0168508 -0.0012060  0.0000440  0.0009489  0.0065911 </t>
  </si>
  <si>
    <t xml:space="preserve">-6.974e-04 -2.906e-04 -1.977e-05  3.230e-04  1.776e-03 </t>
  </si>
  <si>
    <t>(Intercept)   0.74535    0.01918   38.87   &lt;2e-16 ***</t>
  </si>
  <si>
    <t>(Intercept)  0.096874   0.003142  30.835  &lt; 2e-16 ***</t>
  </si>
  <si>
    <t>age          -5.66862    0.20595  -27.52   &lt;2e-16 ***</t>
  </si>
  <si>
    <t>age         -1.727706   0.033742 -51.204  &lt; 2e-16 ***</t>
  </si>
  <si>
    <t>I(age^2)     23.39072    0.83055   28.16   &lt;2e-16 ***</t>
  </si>
  <si>
    <t>I(age^2)     4.557200   0.136073  33.491  &lt; 2e-16 ***</t>
  </si>
  <si>
    <t>I(age^3)    -47.31009    1.58243  -29.90   &lt;2e-16 ***</t>
  </si>
  <si>
    <t>I(age^3)    -3.134829   0.259258 -12.092  &lt; 2e-16 ***</t>
  </si>
  <si>
    <t>I(age^4)     40.85703    1.43418   28.49   &lt;2e-16 ***</t>
  </si>
  <si>
    <t xml:space="preserve">I(age^4)     0.344205   0.234969   1.465  0.14401    </t>
  </si>
  <si>
    <t>I(age^5)    -12.82460    0.49777  -25.76   &lt;2e-16 ***</t>
  </si>
  <si>
    <t xml:space="preserve">I(age^5)     0.242312   0.081552   2.971  0.00321 ** </t>
  </si>
  <si>
    <t>Residual standard error: 0.002492 on 295 degrees of freedom</t>
  </si>
  <si>
    <t>Residual standard error: 0.0004083 on 295 degrees of freedom</t>
  </si>
  <si>
    <t>F-statistic: 8.987e+05 on 5 and 295 DF,  p-value: &lt; 2.2e-16</t>
  </si>
  <si>
    <t xml:space="preserve">F-statistic: 7.792e+06 on 5 and 295 DF,  p-value: &lt; 2.2e-16 </t>
  </si>
  <si>
    <t xml:space="preserve">-0.0030415 -0.0012005 -0.0000692  0.0011428  0.0065700 </t>
  </si>
  <si>
    <t>(Intercept) -0.24654    0.01184 -20.825  &lt; 2e-16 ***</t>
  </si>
  <si>
    <t>age          1.60152    0.12715  12.596  &lt; 2e-16 ***</t>
  </si>
  <si>
    <t>I(age^2)    -2.80561    0.51276  -5.472 9.53e-08 ***</t>
  </si>
  <si>
    <t xml:space="preserve">I(age^3)     0.26302    0.97695   0.269  0.78795    </t>
  </si>
  <si>
    <t xml:space="preserve">I(age^4)     2.87168    0.88542   3.243  0.00132 ** </t>
  </si>
  <si>
    <t>I(age^5)    -1.71805    0.30731  -5.591 5.15e-08 ***</t>
  </si>
  <si>
    <t>Residual standard error: 0.001539 on 295 degrees of freedom</t>
  </si>
  <si>
    <t xml:space="preserve">Multiple R-squared: 0.9865,     Adjusted R-squared: 0.9863 </t>
  </si>
  <si>
    <t xml:space="preserve">F-statistic:  4316 on 5 and 295 DF,  p-value: &lt; 2.2e-16 </t>
  </si>
  <si>
    <r>
      <t>(Age/100)</t>
    </r>
    <r>
      <rPr>
        <vertAlign val="superscript"/>
        <sz val="9"/>
        <color indexed="8"/>
        <rFont val="Calibri"/>
        <family val="2"/>
      </rPr>
      <t>2</t>
    </r>
  </si>
  <si>
    <r>
      <t>(Age/100)</t>
    </r>
    <r>
      <rPr>
        <vertAlign val="superscript"/>
        <sz val="9"/>
        <color indexed="8"/>
        <rFont val="Calibri"/>
        <family val="2"/>
      </rPr>
      <t>3</t>
    </r>
  </si>
  <si>
    <r>
      <t>(Age/100)</t>
    </r>
    <r>
      <rPr>
        <vertAlign val="superscript"/>
        <sz val="9"/>
        <color indexed="8"/>
        <rFont val="Calibri"/>
        <family val="2"/>
      </rPr>
      <t>4</t>
    </r>
  </si>
  <si>
    <r>
      <t>(Age/100)</t>
    </r>
    <r>
      <rPr>
        <vertAlign val="superscript"/>
        <sz val="9"/>
        <color indexed="8"/>
        <rFont val="Calibri"/>
        <family val="2"/>
      </rPr>
      <t>5</t>
    </r>
  </si>
  <si>
    <r>
      <t>(Age/100)</t>
    </r>
    <r>
      <rPr>
        <vertAlign val="superscript"/>
        <sz val="9"/>
        <color indexed="8"/>
        <rFont val="Calibri"/>
        <family val="2"/>
      </rPr>
      <t>6</t>
    </r>
  </si>
  <si>
    <r>
      <t>(Age/100)</t>
    </r>
    <r>
      <rPr>
        <vertAlign val="superscript"/>
        <sz val="9"/>
        <color indexed="8"/>
        <rFont val="Calibri"/>
        <family val="2"/>
      </rPr>
      <t>2</t>
    </r>
  </si>
  <si>
    <r>
      <t>(Age/100)</t>
    </r>
    <r>
      <rPr>
        <vertAlign val="superscript"/>
        <sz val="9"/>
        <color indexed="8"/>
        <rFont val="Calibri"/>
        <family val="2"/>
      </rPr>
      <t>3</t>
    </r>
  </si>
  <si>
    <r>
      <t>(Age/100)</t>
    </r>
    <r>
      <rPr>
        <vertAlign val="superscript"/>
        <sz val="9"/>
        <color indexed="8"/>
        <rFont val="Calibri"/>
        <family val="2"/>
      </rPr>
      <t>4</t>
    </r>
  </si>
  <si>
    <r>
      <t>(Age/100)</t>
    </r>
    <r>
      <rPr>
        <vertAlign val="superscript"/>
        <sz val="9"/>
        <color indexed="8"/>
        <rFont val="Calibri"/>
        <family val="2"/>
      </rPr>
      <t>5</t>
    </r>
  </si>
  <si>
    <r>
      <t>(Age/100)</t>
    </r>
    <r>
      <rPr>
        <vertAlign val="superscript"/>
        <sz val="9"/>
        <color indexed="8"/>
        <rFont val="Calibri"/>
        <family val="2"/>
      </rPr>
      <t>6</t>
    </r>
  </si>
  <si>
    <r>
      <t>LLN (5</t>
    </r>
    <r>
      <rPr>
        <vertAlign val="superscript"/>
        <sz val="9"/>
        <color indexed="8"/>
        <rFont val="Calibri"/>
        <family val="2"/>
      </rPr>
      <t>th</t>
    </r>
    <r>
      <rPr>
        <sz val="9"/>
        <color indexed="8"/>
        <rFont val="Calibri"/>
        <family val="2"/>
      </rPr>
      <t xml:space="preserve"> percentile) = exp(ln(1 - 1.645*L*S)/L +ln(M))</t>
    </r>
  </si>
  <si>
    <r>
      <t xml:space="preserve">Age in years with </t>
    </r>
    <r>
      <rPr>
        <u/>
        <sz val="9"/>
        <color indexed="8"/>
        <rFont val="Calibri"/>
        <family val="2"/>
      </rPr>
      <t>&gt;</t>
    </r>
    <r>
      <rPr>
        <sz val="9"/>
        <color indexed="8"/>
        <rFont val="Calibri"/>
        <family val="2"/>
      </rPr>
      <t xml:space="preserve"> 1 or more decimals</t>
    </r>
  </si>
  <si>
    <r>
      <rPr>
        <b/>
        <sz val="9"/>
        <color indexed="12"/>
        <rFont val="Calibri"/>
        <family val="2"/>
      </rPr>
      <t>For 25-95 years</t>
    </r>
    <r>
      <rPr>
        <sz val="9"/>
        <color indexed="12"/>
        <rFont val="Calibri"/>
        <family val="2"/>
      </rPr>
      <t xml:space="preserve"> (you can use exact age without interpolation, e.g. 43.6 yr):</t>
    </r>
  </si>
  <si>
    <r>
      <t>(Age/100)</t>
    </r>
    <r>
      <rPr>
        <vertAlign val="superscript"/>
        <sz val="9"/>
        <color indexed="8"/>
        <rFont val="Calibri"/>
        <family val="2"/>
      </rPr>
      <t>7</t>
    </r>
  </si>
  <si>
    <t>S =  exp(p0 + p1*Age)</t>
  </si>
  <si>
    <t>M =  exp(a0 + a1*ln(Height) + a2*Age)</t>
  </si>
  <si>
    <t>NOTE: Age, not log(Age)</t>
  </si>
  <si>
    <t>-------------------------------------------------------------------</t>
  </si>
  <si>
    <t xml:space="preserve"> </t>
  </si>
  <si>
    <t xml:space="preserve">No. of observations in the fit:  32536 </t>
  </si>
  <si>
    <t>Degrees of Freedom for the fit:  32</t>
  </si>
  <si>
    <t xml:space="preserve">      Residual Deg. of Freedom:  32504 </t>
  </si>
  <si>
    <t xml:space="preserve">                      at cycle:  10 </t>
  </si>
  <si>
    <t xml:space="preserve">Global Deviance:     21029.49 </t>
  </si>
  <si>
    <t xml:space="preserve">            AIC:     21093.49 </t>
  </si>
  <si>
    <t xml:space="preserve">            SBC:     21361.98 </t>
  </si>
  <si>
    <t>NOTE: for Caucasians only</t>
  </si>
  <si>
    <t>L = q0 + q1*ln(Age)</t>
  </si>
  <si>
    <t>For 3-95 years:</t>
  </si>
  <si>
    <t>q2</t>
  </si>
  <si>
    <t>q3</t>
  </si>
  <si>
    <t>q4</t>
  </si>
  <si>
    <t>Linearly interpolate Mspline and Sspline for appropriate age (e.g. 4.3 yr) from look-up tables</t>
  </si>
  <si>
    <r>
      <rPr>
        <b/>
        <sz val="9"/>
        <color indexed="12"/>
        <rFont val="Calibri"/>
        <family val="2"/>
      </rPr>
      <t>For 25-90 years</t>
    </r>
    <r>
      <rPr>
        <sz val="9"/>
        <color indexed="12"/>
        <rFont val="Calibri"/>
        <family val="2"/>
      </rPr>
      <t xml:space="preserve"> (you can use exact age without interpolation, e.g. 43.6 yr):</t>
    </r>
  </si>
  <si>
    <t>L = 1</t>
  </si>
  <si>
    <t>NOTE: Age 3-7 years only</t>
  </si>
  <si>
    <t>L = 2.97</t>
  </si>
  <si>
    <t>L = 3.564</t>
  </si>
  <si>
    <t>Equations to calculate Mspline, S spline and L spline for ages 25-95 years</t>
  </si>
  <si>
    <t>Lookup tables</t>
  </si>
  <si>
    <t>Equations to be used with lookup tables for Mspline, S spline and L spline(3-95 years)</t>
  </si>
  <si>
    <r>
      <t xml:space="preserve">Equations to be used </t>
    </r>
    <r>
      <rPr>
        <b/>
        <sz val="11"/>
        <color indexed="10"/>
        <rFont val="Calibri"/>
        <family val="2"/>
      </rPr>
      <t>without</t>
    </r>
    <r>
      <rPr>
        <b/>
        <sz val="11"/>
        <color indexed="12"/>
        <rFont val="Calibri"/>
        <family val="2"/>
      </rPr>
      <t xml:space="preserve"> lookup tables for Mspline, S spline and L spline(3-95 years)</t>
    </r>
  </si>
  <si>
    <r>
      <t>For 3-</t>
    </r>
    <r>
      <rPr>
        <b/>
        <sz val="9"/>
        <color indexed="10"/>
        <rFont val="Calibri"/>
        <family val="2"/>
      </rPr>
      <t>90</t>
    </r>
    <r>
      <rPr>
        <b/>
        <sz val="9"/>
        <color indexed="12"/>
        <rFont val="Calibri"/>
        <family val="2"/>
      </rPr>
      <t xml:space="preserve"> years:</t>
    </r>
  </si>
  <si>
    <r>
      <t>Equations to be used with lookup tables for Mspline, S spline and L spline(3-</t>
    </r>
    <r>
      <rPr>
        <b/>
        <sz val="11"/>
        <color indexed="10"/>
        <rFont val="Calibri"/>
        <family val="2"/>
      </rPr>
      <t>90</t>
    </r>
    <r>
      <rPr>
        <b/>
        <sz val="11"/>
        <color indexed="12"/>
        <rFont val="Calibri"/>
        <family val="2"/>
      </rPr>
      <t xml:space="preserve"> years)</t>
    </r>
  </si>
  <si>
    <r>
      <t>Equations to calculate Mspline, S spline and L spline for ages 25-</t>
    </r>
    <r>
      <rPr>
        <b/>
        <sz val="11"/>
        <color indexed="10"/>
        <rFont val="Calibri"/>
        <family val="2"/>
      </rPr>
      <t>90</t>
    </r>
    <r>
      <rPr>
        <b/>
        <sz val="11"/>
        <color indexed="12"/>
        <rFont val="Calibri"/>
        <family val="2"/>
      </rPr>
      <t xml:space="preserve"> years</t>
    </r>
  </si>
  <si>
    <r>
      <t>For 3-</t>
    </r>
    <r>
      <rPr>
        <b/>
        <sz val="9"/>
        <color indexed="10"/>
        <rFont val="Calibri"/>
        <family val="2"/>
      </rPr>
      <t>90</t>
    </r>
    <r>
      <rPr>
        <b/>
        <sz val="9"/>
        <color indexed="12"/>
        <rFont val="Calibri"/>
        <family val="2"/>
      </rPr>
      <t xml:space="preserve"> years:</t>
    </r>
  </si>
  <si>
    <r>
      <t>For 3-</t>
    </r>
    <r>
      <rPr>
        <sz val="9"/>
        <color indexed="10"/>
        <rFont val="Calibri"/>
        <family val="2"/>
      </rPr>
      <t>90</t>
    </r>
    <r>
      <rPr>
        <b/>
        <sz val="9"/>
        <color indexed="12"/>
        <rFont val="Calibri"/>
        <family val="2"/>
      </rPr>
      <t xml:space="preserve"> years:</t>
    </r>
  </si>
  <si>
    <t>L = q0</t>
  </si>
  <si>
    <t>L = q0 +q1*ln(Age)</t>
  </si>
  <si>
    <t>a6</t>
  </si>
  <si>
    <t>p5</t>
  </si>
  <si>
    <t>Other/mixed</t>
  </si>
  <si>
    <t>1 if none of the above groups, else 0</t>
  </si>
  <si>
    <t>M =  exp(a0 + a1*ln(Height) + a2*ln(Age))</t>
  </si>
  <si>
    <t>S =  exp(p0 + p1*ln(Age))</t>
  </si>
  <si>
    <t>Mspline = b0 + b1*(Age/100) + b2*(Age/100)^2 + b3*(Age/100)^3 + b4*(Age/100)^4 + b5*(Age/100)^5</t>
  </si>
  <si>
    <t>Equations to be used with lookup tables for Mspline, S spline and L spline (3-95 years)</t>
  </si>
  <si>
    <t>Please note that in an earlier version cells S4-S9 and V4-V9 were 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</si>
</sst>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"/>
    <numFmt numFmtId="166" formatCode="0.0000"/>
    <numFmt numFmtId="167" formatCode="0.00000"/>
  </numFmts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Calibri"/>
      <family val="2"/>
    </font>
    <font>
      <vertAlign val="superscript"/>
      <sz val="9"/>
      <color indexed="8"/>
      <name val="Calibri"/>
      <family val="2"/>
    </font>
    <font>
      <b/>
      <sz val="9"/>
      <color indexed="12"/>
      <name val="Calibri"/>
      <family val="2"/>
    </font>
    <font>
      <sz val="9"/>
      <color indexed="12"/>
      <name val="Calibri"/>
      <family val="2"/>
    </font>
    <font>
      <sz val="10"/>
      <name val="Arial"/>
      <family val="2"/>
    </font>
    <font>
      <sz val="9"/>
      <name val="Calibri"/>
      <family val="2"/>
    </font>
    <font>
      <u/>
      <sz val="9"/>
      <color indexed="8"/>
      <name val="Calibri"/>
      <family val="2"/>
    </font>
    <font>
      <sz val="11"/>
      <name val="Calibri"/>
      <family val="2"/>
    </font>
    <font>
      <b/>
      <sz val="9"/>
      <color indexed="10"/>
      <name val="Calibri"/>
      <family val="2"/>
    </font>
    <font>
      <b/>
      <sz val="11"/>
      <color indexed="12"/>
      <name val="Calibri"/>
      <family val="2"/>
    </font>
    <font>
      <b/>
      <sz val="11"/>
      <color indexed="10"/>
      <name val="Calibri"/>
      <family val="2"/>
    </font>
    <font>
      <sz val="9"/>
      <color indexed="10"/>
      <name val="Calibri"/>
      <family val="2"/>
    </font>
    <font>
      <sz val="11"/>
      <color rgb="FF3F3F76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FF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FF"/>
      <name val="Calibri"/>
      <family val="2"/>
      <scheme val="minor"/>
    </font>
    <font>
      <sz val="9"/>
      <color theme="1"/>
      <name val="Calibri"/>
      <family val="2"/>
    </font>
    <font>
      <sz val="9"/>
      <color rgb="FF0000FF"/>
      <name val="Arial"/>
      <family val="2"/>
    </font>
    <font>
      <sz val="8"/>
      <color rgb="FF0000FF"/>
      <name val="Calibri"/>
      <family val="2"/>
      <scheme val="minor"/>
    </font>
    <font>
      <sz val="9"/>
      <color rgb="FF0000FF"/>
      <name val="Calibri"/>
      <family val="2"/>
    </font>
    <font>
      <sz val="9"/>
      <color indexed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9"/>
      <color rgb="FFFF0000"/>
      <name val="Calibri"/>
      <family val="2"/>
    </font>
    <font>
      <b/>
      <sz val="11"/>
      <color rgb="FF0000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</borders>
  <cellStyleXfs count="14">
    <xf numFmtId="0" fontId="0" fillId="0" borderId="0"/>
    <xf numFmtId="0" fontId="14" fillId="2" borderId="14" applyNumberFormat="0" applyAlignment="0" applyProtection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76">
    <xf numFmtId="0" fontId="0" fillId="0" borderId="0" xfId="0"/>
    <xf numFmtId="0" fontId="16" fillId="0" borderId="0" xfId="0" applyFont="1"/>
    <xf numFmtId="49" fontId="16" fillId="0" borderId="0" xfId="0" applyNumberFormat="1" applyFont="1"/>
    <xf numFmtId="0" fontId="16" fillId="0" borderId="0" xfId="0" applyFont="1" applyAlignment="1">
      <alignment horizontal="right"/>
    </xf>
    <xf numFmtId="0" fontId="17" fillId="0" borderId="0" xfId="0" applyFont="1"/>
    <xf numFmtId="164" fontId="16" fillId="0" borderId="0" xfId="0" applyNumberFormat="1" applyFont="1"/>
    <xf numFmtId="164" fontId="18" fillId="0" borderId="0" xfId="6" applyNumberFormat="1" applyFont="1" applyAlignment="1">
      <alignment vertical="center"/>
    </xf>
    <xf numFmtId="0" fontId="19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1" fillId="0" borderId="0" xfId="0" applyFont="1"/>
    <xf numFmtId="0" fontId="22" fillId="0" borderId="0" xfId="0" applyFont="1"/>
    <xf numFmtId="49" fontId="19" fillId="0" borderId="0" xfId="5" applyNumberFormat="1" applyFont="1" applyAlignment="1">
      <alignment horizontal="left"/>
    </xf>
    <xf numFmtId="0" fontId="19" fillId="0" borderId="0" xfId="5" applyFont="1" applyAlignment="1">
      <alignment vertical="center"/>
    </xf>
    <xf numFmtId="49" fontId="19" fillId="0" borderId="0" xfId="8" applyNumberFormat="1" applyFont="1" applyAlignment="1">
      <alignment horizontal="left"/>
    </xf>
    <xf numFmtId="0" fontId="19" fillId="0" borderId="0" xfId="8" applyFont="1" applyAlignment="1">
      <alignment vertical="center"/>
    </xf>
    <xf numFmtId="0" fontId="19" fillId="0" borderId="0" xfId="0" applyFont="1" applyAlignment="1">
      <alignment horizontal="right"/>
    </xf>
    <xf numFmtId="49" fontId="19" fillId="0" borderId="0" xfId="6" applyNumberFormat="1" applyFont="1" applyAlignment="1">
      <alignment horizontal="left"/>
    </xf>
    <xf numFmtId="0" fontId="19" fillId="0" borderId="0" xfId="6" applyFont="1" applyAlignment="1">
      <alignment vertical="center"/>
    </xf>
    <xf numFmtId="164" fontId="19" fillId="0" borderId="0" xfId="0" applyNumberFormat="1" applyFont="1"/>
    <xf numFmtId="0" fontId="19" fillId="0" borderId="0" xfId="4" applyFont="1" applyAlignment="1">
      <alignment vertical="center"/>
    </xf>
    <xf numFmtId="0" fontId="19" fillId="0" borderId="0" xfId="3" applyFont="1" applyAlignment="1">
      <alignment vertical="center"/>
    </xf>
    <xf numFmtId="0" fontId="19" fillId="0" borderId="0" xfId="10" applyFont="1" applyAlignment="1">
      <alignment vertical="center"/>
    </xf>
    <xf numFmtId="164" fontId="23" fillId="0" borderId="0" xfId="13" applyNumberFormat="1" applyFont="1" applyAlignment="1">
      <alignment vertical="center"/>
    </xf>
    <xf numFmtId="49" fontId="23" fillId="0" borderId="0" xfId="13" applyNumberFormat="1" applyFont="1" applyAlignment="1">
      <alignment horizontal="left"/>
    </xf>
    <xf numFmtId="49" fontId="19" fillId="0" borderId="0" xfId="9" applyNumberFormat="1" applyFont="1" applyAlignment="1">
      <alignment horizontal="left"/>
    </xf>
    <xf numFmtId="164" fontId="19" fillId="0" borderId="0" xfId="6" applyNumberFormat="1" applyFont="1" applyAlignment="1">
      <alignment vertical="center"/>
    </xf>
    <xf numFmtId="0" fontId="24" fillId="0" borderId="0" xfId="0" applyFont="1"/>
    <xf numFmtId="0" fontId="24" fillId="0" borderId="0" xfId="11" applyFont="1" applyAlignment="1">
      <alignment vertical="center"/>
    </xf>
    <xf numFmtId="2" fontId="16" fillId="0" borderId="0" xfId="0" applyNumberFormat="1" applyFont="1"/>
    <xf numFmtId="49" fontId="1" fillId="0" borderId="0" xfId="6" applyNumberFormat="1" applyAlignment="1">
      <alignment horizontal="left"/>
    </xf>
    <xf numFmtId="0" fontId="1" fillId="0" borderId="0" xfId="6" applyAlignment="1">
      <alignment vertical="center"/>
    </xf>
    <xf numFmtId="0" fontId="6" fillId="0" borderId="0" xfId="7" applyAlignment="1">
      <alignment vertical="center"/>
    </xf>
    <xf numFmtId="166" fontId="19" fillId="0" borderId="0" xfId="7" applyNumberFormat="1" applyFont="1" applyAlignment="1">
      <alignment vertical="center"/>
    </xf>
    <xf numFmtId="0" fontId="25" fillId="0" borderId="0" xfId="0" applyFont="1"/>
    <xf numFmtId="166" fontId="25" fillId="0" borderId="0" xfId="0" applyNumberFormat="1" applyFont="1"/>
    <xf numFmtId="2" fontId="25" fillId="0" borderId="0" xfId="2" applyNumberFormat="1" applyFont="1"/>
    <xf numFmtId="164" fontId="25" fillId="0" borderId="0" xfId="2" applyNumberFormat="1" applyFont="1"/>
    <xf numFmtId="0" fontId="25" fillId="0" borderId="0" xfId="0" applyFont="1" applyAlignment="1">
      <alignment horizontal="right"/>
    </xf>
    <xf numFmtId="0" fontId="22" fillId="3" borderId="1" xfId="0" applyFont="1" applyFill="1" applyBorder="1"/>
    <xf numFmtId="0" fontId="22" fillId="3" borderId="2" xfId="0" applyFont="1" applyFill="1" applyBorder="1"/>
    <xf numFmtId="49" fontId="16" fillId="3" borderId="2" xfId="0" applyNumberFormat="1" applyFont="1" applyFill="1" applyBorder="1"/>
    <xf numFmtId="49" fontId="16" fillId="4" borderId="3" xfId="6" applyNumberFormat="1" applyFont="1" applyFill="1" applyBorder="1" applyAlignment="1">
      <alignment horizontal="left"/>
    </xf>
    <xf numFmtId="167" fontId="22" fillId="4" borderId="4" xfId="0" applyNumberFormat="1" applyFont="1" applyFill="1" applyBorder="1"/>
    <xf numFmtId="167" fontId="16" fillId="0" borderId="0" xfId="0" applyNumberFormat="1" applyFont="1"/>
    <xf numFmtId="167" fontId="16" fillId="4" borderId="3" xfId="6" applyNumberFormat="1" applyFont="1" applyFill="1" applyBorder="1" applyAlignment="1">
      <alignment horizontal="left"/>
    </xf>
    <xf numFmtId="1" fontId="22" fillId="4" borderId="4" xfId="0" applyNumberFormat="1" applyFont="1" applyFill="1" applyBorder="1"/>
    <xf numFmtId="0" fontId="16" fillId="3" borderId="2" xfId="0" applyFont="1" applyFill="1" applyBorder="1"/>
    <xf numFmtId="0" fontId="16" fillId="4" borderId="0" xfId="0" applyFont="1" applyFill="1"/>
    <xf numFmtId="167" fontId="16" fillId="4" borderId="4" xfId="0" applyNumberFormat="1" applyFont="1" applyFill="1" applyBorder="1"/>
    <xf numFmtId="0" fontId="16" fillId="4" borderId="3" xfId="0" applyFont="1" applyFill="1" applyBorder="1"/>
    <xf numFmtId="0" fontId="22" fillId="4" borderId="3" xfId="0" applyFont="1" applyFill="1" applyBorder="1"/>
    <xf numFmtId="0" fontId="16" fillId="4" borderId="4" xfId="0" applyFont="1" applyFill="1" applyBorder="1"/>
    <xf numFmtId="166" fontId="16" fillId="4" borderId="4" xfId="7" applyNumberFormat="1" applyFont="1" applyFill="1" applyBorder="1" applyAlignment="1">
      <alignment vertical="center"/>
    </xf>
    <xf numFmtId="1" fontId="16" fillId="4" borderId="4" xfId="7" applyNumberFormat="1" applyFont="1" applyFill="1" applyBorder="1" applyAlignment="1">
      <alignment vertical="center"/>
    </xf>
    <xf numFmtId="0" fontId="16" fillId="3" borderId="5" xfId="0" applyFont="1" applyFill="1" applyBorder="1"/>
    <xf numFmtId="164" fontId="16" fillId="4" borderId="6" xfId="6" applyNumberFormat="1" applyFont="1" applyFill="1" applyBorder="1" applyAlignment="1">
      <alignment vertical="center"/>
    </xf>
    <xf numFmtId="0" fontId="16" fillId="4" borderId="7" xfId="0" applyFont="1" applyFill="1" applyBorder="1" applyAlignment="1">
      <alignment horizontal="right"/>
    </xf>
    <xf numFmtId="0" fontId="16" fillId="4" borderId="8" xfId="0" applyFont="1" applyFill="1" applyBorder="1"/>
    <xf numFmtId="0" fontId="5" fillId="0" borderId="0" xfId="0" applyFont="1" applyAlignment="1">
      <alignment horizontal="left"/>
    </xf>
    <xf numFmtId="49" fontId="16" fillId="4" borderId="8" xfId="6" applyNumberFormat="1" applyFont="1" applyFill="1" applyBorder="1" applyAlignment="1">
      <alignment horizontal="left"/>
    </xf>
    <xf numFmtId="0" fontId="16" fillId="4" borderId="7" xfId="0" applyFont="1" applyFill="1" applyBorder="1"/>
    <xf numFmtId="1" fontId="16" fillId="4" borderId="7" xfId="7" applyNumberFormat="1" applyFont="1" applyFill="1" applyBorder="1" applyAlignment="1">
      <alignment vertical="center"/>
    </xf>
    <xf numFmtId="0" fontId="22" fillId="3" borderId="5" xfId="0" applyFont="1" applyFill="1" applyBorder="1"/>
    <xf numFmtId="0" fontId="16" fillId="4" borderId="4" xfId="0" applyFont="1" applyFill="1" applyBorder="1" applyAlignment="1">
      <alignment horizontal="right"/>
    </xf>
    <xf numFmtId="0" fontId="7" fillId="0" borderId="0" xfId="0" applyFont="1"/>
    <xf numFmtId="167" fontId="16" fillId="4" borderId="4" xfId="7" applyNumberFormat="1" applyFont="1" applyFill="1" applyBorder="1" applyAlignment="1">
      <alignment vertical="center"/>
    </xf>
    <xf numFmtId="167" fontId="16" fillId="4" borderId="7" xfId="7" applyNumberFormat="1" applyFont="1" applyFill="1" applyBorder="1" applyAlignment="1">
      <alignment vertical="center"/>
    </xf>
    <xf numFmtId="165" fontId="22" fillId="0" borderId="0" xfId="0" applyNumberFormat="1" applyFont="1"/>
    <xf numFmtId="0" fontId="16" fillId="3" borderId="1" xfId="0" applyFont="1" applyFill="1" applyBorder="1"/>
    <xf numFmtId="0" fontId="18" fillId="4" borderId="4" xfId="0" applyFont="1" applyFill="1" applyBorder="1"/>
    <xf numFmtId="0" fontId="7" fillId="4" borderId="4" xfId="0" applyFont="1" applyFill="1" applyBorder="1"/>
    <xf numFmtId="0" fontId="26" fillId="0" borderId="0" xfId="0" applyFont="1" applyAlignment="1">
      <alignment horizontal="left"/>
    </xf>
    <xf numFmtId="49" fontId="16" fillId="3" borderId="5" xfId="0" applyNumberFormat="1" applyFont="1" applyFill="1" applyBorder="1"/>
    <xf numFmtId="165" fontId="16" fillId="4" borderId="3" xfId="6" applyNumberFormat="1" applyFont="1" applyFill="1" applyBorder="1" applyAlignment="1">
      <alignment horizontal="left"/>
    </xf>
    <xf numFmtId="165" fontId="16" fillId="4" borderId="8" xfId="6" applyNumberFormat="1" applyFont="1" applyFill="1" applyBorder="1" applyAlignment="1">
      <alignment horizontal="left"/>
    </xf>
    <xf numFmtId="0" fontId="9" fillId="0" borderId="0" xfId="0" applyFont="1"/>
    <xf numFmtId="166" fontId="9" fillId="0" borderId="0" xfId="0" applyNumberFormat="1" applyFont="1"/>
    <xf numFmtId="0" fontId="27" fillId="4" borderId="0" xfId="0" applyFont="1" applyFill="1" applyAlignment="1">
      <alignment horizontal="right"/>
    </xf>
    <xf numFmtId="0" fontId="28" fillId="0" borderId="0" xfId="0" applyFont="1"/>
    <xf numFmtId="0" fontId="28" fillId="0" borderId="0" xfId="0" applyFont="1" applyAlignment="1">
      <alignment horizontal="right"/>
    </xf>
    <xf numFmtId="167" fontId="25" fillId="0" borderId="0" xfId="0" applyNumberFormat="1" applyFont="1"/>
    <xf numFmtId="167" fontId="9" fillId="0" borderId="0" xfId="0" applyNumberFormat="1" applyFont="1"/>
    <xf numFmtId="0" fontId="16" fillId="5" borderId="0" xfId="0" applyFont="1" applyFill="1"/>
    <xf numFmtId="0" fontId="29" fillId="0" borderId="0" xfId="0" applyFont="1"/>
    <xf numFmtId="2" fontId="18" fillId="0" borderId="0" xfId="0" applyNumberFormat="1" applyFont="1" applyAlignment="1">
      <alignment horizontal="left"/>
    </xf>
    <xf numFmtId="0" fontId="21" fillId="5" borderId="0" xfId="0" applyFont="1" applyFill="1"/>
    <xf numFmtId="166" fontId="16" fillId="4" borderId="4" xfId="0" applyNumberFormat="1" applyFont="1" applyFill="1" applyBorder="1"/>
    <xf numFmtId="166" fontId="16" fillId="0" borderId="0" xfId="0" applyNumberFormat="1" applyFont="1"/>
    <xf numFmtId="166" fontId="16" fillId="4" borderId="3" xfId="0" applyNumberFormat="1" applyFont="1" applyFill="1" applyBorder="1"/>
    <xf numFmtId="166" fontId="22" fillId="4" borderId="3" xfId="0" applyNumberFormat="1" applyFont="1" applyFill="1" applyBorder="1"/>
    <xf numFmtId="166" fontId="22" fillId="4" borderId="4" xfId="0" applyNumberFormat="1" applyFont="1" applyFill="1" applyBorder="1"/>
    <xf numFmtId="166" fontId="22" fillId="3" borderId="1" xfId="0" applyNumberFormat="1" applyFont="1" applyFill="1" applyBorder="1"/>
    <xf numFmtId="166" fontId="25" fillId="0" borderId="0" xfId="2" applyNumberFormat="1" applyFont="1"/>
    <xf numFmtId="166" fontId="16" fillId="4" borderId="7" xfId="0" applyNumberFormat="1" applyFont="1" applyFill="1" applyBorder="1" applyAlignment="1">
      <alignment horizontal="right"/>
    </xf>
    <xf numFmtId="166" fontId="19" fillId="0" borderId="0" xfId="0" applyNumberFormat="1" applyFont="1"/>
    <xf numFmtId="166" fontId="21" fillId="0" borderId="0" xfId="0" applyNumberFormat="1" applyFont="1"/>
    <xf numFmtId="166" fontId="16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left"/>
    </xf>
    <xf numFmtId="166" fontId="20" fillId="0" borderId="0" xfId="0" applyNumberFormat="1" applyFont="1" applyAlignment="1">
      <alignment horizontal="left"/>
    </xf>
    <xf numFmtId="166" fontId="19" fillId="0" borderId="0" xfId="9" applyNumberFormat="1" applyFont="1" applyAlignment="1">
      <alignment horizontal="left"/>
    </xf>
    <xf numFmtId="166" fontId="18" fillId="4" borderId="4" xfId="0" applyNumberFormat="1" applyFont="1" applyFill="1" applyBorder="1"/>
    <xf numFmtId="166" fontId="16" fillId="4" borderId="4" xfId="0" applyNumberFormat="1" applyFont="1" applyFill="1" applyBorder="1" applyAlignment="1">
      <alignment horizontal="right"/>
    </xf>
    <xf numFmtId="166" fontId="16" fillId="4" borderId="7" xfId="0" applyNumberFormat="1" applyFont="1" applyFill="1" applyBorder="1"/>
    <xf numFmtId="166" fontId="19" fillId="0" borderId="0" xfId="8" applyNumberFormat="1" applyFont="1" applyAlignment="1">
      <alignment vertical="center"/>
    </xf>
    <xf numFmtId="166" fontId="19" fillId="0" borderId="0" xfId="10" applyNumberFormat="1" applyFont="1" applyAlignment="1">
      <alignment vertical="center"/>
    </xf>
    <xf numFmtId="166" fontId="19" fillId="0" borderId="0" xfId="10" applyNumberFormat="1" applyFont="1" applyAlignment="1">
      <alignment horizontal="left"/>
    </xf>
    <xf numFmtId="166" fontId="19" fillId="0" borderId="0" xfId="0" applyNumberFormat="1" applyFont="1" applyAlignment="1">
      <alignment horizontal="right"/>
    </xf>
    <xf numFmtId="166" fontId="19" fillId="0" borderId="0" xfId="12" applyNumberFormat="1" applyFont="1" applyAlignment="1">
      <alignment vertical="center"/>
    </xf>
    <xf numFmtId="166" fontId="19" fillId="4" borderId="4" xfId="0" applyNumberFormat="1" applyFont="1" applyFill="1" applyBorder="1"/>
    <xf numFmtId="166" fontId="22" fillId="0" borderId="0" xfId="0" applyNumberFormat="1" applyFont="1"/>
    <xf numFmtId="166" fontId="19" fillId="0" borderId="0" xfId="5" applyNumberFormat="1" applyFont="1" applyAlignment="1">
      <alignment vertical="center"/>
    </xf>
    <xf numFmtId="166" fontId="28" fillId="0" borderId="0" xfId="0" applyNumberFormat="1" applyFont="1"/>
    <xf numFmtId="166" fontId="27" fillId="4" borderId="0" xfId="0" applyNumberFormat="1" applyFont="1" applyFill="1" applyAlignment="1">
      <alignment horizontal="right"/>
    </xf>
    <xf numFmtId="166" fontId="23" fillId="0" borderId="0" xfId="13" applyNumberFormat="1" applyFont="1" applyAlignment="1">
      <alignment vertical="center"/>
    </xf>
    <xf numFmtId="166" fontId="7" fillId="4" borderId="4" xfId="0" applyNumberFormat="1" applyFont="1" applyFill="1" applyBorder="1"/>
    <xf numFmtId="166" fontId="30" fillId="5" borderId="0" xfId="0" applyNumberFormat="1" applyFont="1" applyFill="1"/>
    <xf numFmtId="166" fontId="0" fillId="0" borderId="0" xfId="0" applyNumberFormat="1"/>
    <xf numFmtId="1" fontId="18" fillId="4" borderId="4" xfId="0" applyNumberFormat="1" applyFont="1" applyFill="1" applyBorder="1"/>
    <xf numFmtId="1" fontId="16" fillId="4" borderId="4" xfId="0" applyNumberFormat="1" applyFont="1" applyFill="1" applyBorder="1" applyAlignment="1">
      <alignment horizontal="right"/>
    </xf>
    <xf numFmtId="1" fontId="16" fillId="4" borderId="4" xfId="0" applyNumberFormat="1" applyFont="1" applyFill="1" applyBorder="1"/>
    <xf numFmtId="167" fontId="29" fillId="0" borderId="0" xfId="0" applyNumberFormat="1" applyFont="1"/>
    <xf numFmtId="1" fontId="25" fillId="0" borderId="0" xfId="0" applyNumberFormat="1" applyFont="1"/>
    <xf numFmtId="166" fontId="22" fillId="0" borderId="4" xfId="0" applyNumberFormat="1" applyFont="1" applyBorder="1"/>
    <xf numFmtId="165" fontId="29" fillId="0" borderId="0" xfId="0" applyNumberFormat="1" applyFont="1"/>
    <xf numFmtId="165" fontId="7" fillId="0" borderId="0" xfId="0" applyNumberFormat="1" applyFont="1"/>
    <xf numFmtId="164" fontId="18" fillId="4" borderId="4" xfId="0" applyNumberFormat="1" applyFont="1" applyFill="1" applyBorder="1"/>
    <xf numFmtId="164" fontId="19" fillId="4" borderId="4" xfId="0" applyNumberFormat="1" applyFont="1" applyFill="1" applyBorder="1"/>
    <xf numFmtId="164" fontId="16" fillId="4" borderId="4" xfId="0" applyNumberFormat="1" applyFont="1" applyFill="1" applyBorder="1"/>
    <xf numFmtId="165" fontId="18" fillId="4" borderId="4" xfId="0" applyNumberFormat="1" applyFont="1" applyFill="1" applyBorder="1"/>
    <xf numFmtId="165" fontId="16" fillId="4" borderId="4" xfId="0" applyNumberFormat="1" applyFont="1" applyFill="1" applyBorder="1"/>
    <xf numFmtId="0" fontId="16" fillId="6" borderId="2" xfId="0" applyFont="1" applyFill="1" applyBorder="1"/>
    <xf numFmtId="166" fontId="16" fillId="4" borderId="0" xfId="0" applyNumberFormat="1" applyFont="1" applyFill="1"/>
    <xf numFmtId="0" fontId="31" fillId="0" borderId="0" xfId="0" applyFont="1"/>
    <xf numFmtId="0" fontId="7" fillId="0" borderId="4" xfId="0" applyFont="1" applyBorder="1"/>
    <xf numFmtId="15" fontId="25" fillId="0" borderId="0" xfId="0" applyNumberFormat="1" applyFont="1"/>
    <xf numFmtId="0" fontId="16" fillId="4" borderId="9" xfId="0" applyFont="1" applyFill="1" applyBorder="1" applyAlignment="1">
      <alignment horizontal="center"/>
    </xf>
    <xf numFmtId="0" fontId="22" fillId="4" borderId="11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32" fillId="0" borderId="15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22" fillId="3" borderId="9" xfId="0" applyFont="1" applyFill="1" applyBorder="1" applyAlignment="1">
      <alignment horizontal="center"/>
    </xf>
    <xf numFmtId="0" fontId="22" fillId="3" borderId="10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22" fillId="3" borderId="11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22" fillId="4" borderId="13" xfId="0" applyFont="1" applyFill="1" applyBorder="1" applyAlignment="1">
      <alignment horizontal="center"/>
    </xf>
    <xf numFmtId="166" fontId="32" fillId="0" borderId="15" xfId="0" applyNumberFormat="1" applyFont="1" applyBorder="1" applyAlignment="1">
      <alignment horizontal="center"/>
    </xf>
    <xf numFmtId="166" fontId="32" fillId="0" borderId="16" xfId="0" applyNumberFormat="1" applyFont="1" applyBorder="1" applyAlignment="1">
      <alignment horizontal="center"/>
    </xf>
    <xf numFmtId="166" fontId="32" fillId="0" borderId="17" xfId="0" applyNumberFormat="1" applyFont="1" applyBorder="1" applyAlignment="1">
      <alignment horizontal="center"/>
    </xf>
    <xf numFmtId="166" fontId="22" fillId="3" borderId="9" xfId="0" applyNumberFormat="1" applyFont="1" applyFill="1" applyBorder="1" applyAlignment="1">
      <alignment horizontal="center"/>
    </xf>
    <xf numFmtId="166" fontId="22" fillId="3" borderId="10" xfId="0" applyNumberFormat="1" applyFont="1" applyFill="1" applyBorder="1" applyAlignment="1">
      <alignment horizontal="center"/>
    </xf>
    <xf numFmtId="166" fontId="0" fillId="0" borderId="10" xfId="0" applyNumberFormat="1" applyBorder="1"/>
    <xf numFmtId="166" fontId="0" fillId="0" borderId="11" xfId="0" applyNumberFormat="1" applyBorder="1"/>
    <xf numFmtId="0" fontId="16" fillId="4" borderId="0" xfId="0" applyFont="1" applyFill="1" applyAlignment="1">
      <alignment horizontal="center"/>
    </xf>
    <xf numFmtId="0" fontId="22" fillId="4" borderId="4" xfId="0" applyFont="1" applyFill="1" applyBorder="1" applyAlignment="1">
      <alignment horizontal="center"/>
    </xf>
    <xf numFmtId="0" fontId="16" fillId="4" borderId="3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/>
    </xf>
    <xf numFmtId="0" fontId="16" fillId="3" borderId="9" xfId="0" applyFont="1" applyFill="1" applyBorder="1" applyAlignment="1">
      <alignment horizontal="center"/>
    </xf>
    <xf numFmtId="0" fontId="16" fillId="3" borderId="10" xfId="0" applyFont="1" applyFill="1" applyBorder="1" applyAlignment="1">
      <alignment horizontal="center"/>
    </xf>
    <xf numFmtId="0" fontId="16" fillId="0" borderId="10" xfId="0" applyFont="1" applyBorder="1"/>
    <xf numFmtId="0" fontId="16" fillId="0" borderId="11" xfId="0" applyFont="1" applyBorder="1"/>
    <xf numFmtId="0" fontId="16" fillId="3" borderId="11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 vertical="center"/>
    </xf>
    <xf numFmtId="165" fontId="16" fillId="4" borderId="12" xfId="0" applyNumberFormat="1" applyFont="1" applyFill="1" applyBorder="1" applyAlignment="1">
      <alignment horizontal="center"/>
    </xf>
    <xf numFmtId="165" fontId="22" fillId="4" borderId="13" xfId="0" applyNumberFormat="1" applyFont="1" applyFill="1" applyBorder="1" applyAlignment="1">
      <alignment horizontal="center"/>
    </xf>
    <xf numFmtId="0" fontId="32" fillId="0" borderId="18" xfId="0" applyFont="1" applyBorder="1" applyAlignment="1">
      <alignment horizontal="center"/>
    </xf>
    <xf numFmtId="0" fontId="32" fillId="0" borderId="19" xfId="0" applyFont="1" applyBorder="1" applyAlignment="1">
      <alignment horizontal="center"/>
    </xf>
    <xf numFmtId="0" fontId="32" fillId="0" borderId="20" xfId="0" applyFont="1" applyBorder="1" applyAlignment="1">
      <alignment horizontal="center"/>
    </xf>
  </cellXfs>
  <cellStyles count="14">
    <cellStyle name="Input 2" xfId="1" xr:uid="{5DE6E00F-C7B6-4B99-8648-AEBEECFC7874}"/>
    <cellStyle name="Normal" xfId="0" builtinId="0"/>
    <cellStyle name="Normal 2" xfId="2" xr:uid="{0C3E9E1B-CFE0-497C-BC33-06460A72EFCE}"/>
    <cellStyle name="Normal_FEF2575 females" xfId="3" xr:uid="{C1EF188A-3E8E-4C97-91CA-33806ACFA79E}"/>
    <cellStyle name="Normal_FEF2575 males" xfId="4" xr:uid="{6E8BEC89-10F1-4F49-89CB-931743EBD721}"/>
    <cellStyle name="Normal_FEV1 females" xfId="5" xr:uid="{E28C939B-D167-4143-BE00-57922236CCAD}"/>
    <cellStyle name="Normal_FEV1 males" xfId="6" xr:uid="{9CB88123-1F2F-4584-A3D6-30D9D457BEA2}"/>
    <cellStyle name="Normal_FEV1 males_1" xfId="7" xr:uid="{D0AC21A4-252B-417F-A190-FC1C113C1A88}"/>
    <cellStyle name="Normal_FVC males" xfId="8" xr:uid="{0D6A20D8-B095-4ECC-9144-C9BA464C0E6A}"/>
    <cellStyle name="Normal_FVC males_1" xfId="9" xr:uid="{A4FFF53B-D955-45E3-A359-0D905FFDD2BD}"/>
    <cellStyle name="Normal_Ratio males" xfId="10" xr:uid="{A74CD4F2-D288-486C-A45B-F66DE0A79413}"/>
    <cellStyle name="Normal_Sheet1" xfId="11" xr:uid="{5525CF93-7C71-43BB-A4F1-B063058C75CF}"/>
    <cellStyle name="Normal_Sheet1_1" xfId="12" xr:uid="{23A5B934-E59B-4DC6-9843-F03355EA90E4}"/>
    <cellStyle name="Normal_Sheet2" xfId="13" xr:uid="{13788037-642E-480D-A5AE-467EF2C917E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7E827-3351-4229-AB8C-B9B00B2901B8}">
  <dimension ref="A1:AL394"/>
  <sheetViews>
    <sheetView tabSelected="1" workbookViewId="0">
      <selection activeCell="B1" sqref="B1:E5"/>
    </sheetView>
  </sheetViews>
  <sheetFormatPr defaultColWidth="9.109375" defaultRowHeight="12" x14ac:dyDescent="0.25"/>
  <cols>
    <col min="1" max="1" width="8.6640625" style="1" customWidth="1"/>
    <col min="2" max="2" width="8.6640625" style="30" customWidth="1"/>
    <col min="3" max="3" width="8.5546875" style="1" customWidth="1"/>
    <col min="4" max="4" width="8.44140625" style="89" customWidth="1"/>
    <col min="5" max="5" width="7.6640625" style="89" customWidth="1"/>
    <col min="6" max="6" width="3.6640625" style="1" customWidth="1"/>
    <col min="7" max="7" width="11.33203125" style="1" customWidth="1"/>
    <col min="8" max="8" width="6.5546875" style="1" customWidth="1"/>
    <col min="9" max="9" width="10.109375" style="1" customWidth="1"/>
    <col min="10" max="10" width="7.6640625" style="1" customWidth="1"/>
    <col min="11" max="11" width="7.109375" style="1" customWidth="1"/>
    <col min="12" max="12" width="8.6640625" style="1" customWidth="1"/>
    <col min="13" max="13" width="12.33203125" style="1" customWidth="1"/>
    <col min="14" max="14" width="5" style="1" customWidth="1"/>
    <col min="15" max="15" width="14.44140625" style="1" customWidth="1"/>
    <col min="16" max="16" width="6.6640625" style="1" customWidth="1"/>
    <col min="17" max="17" width="9.88671875" style="1" customWidth="1"/>
    <col min="18" max="18" width="10.109375" style="1" customWidth="1"/>
    <col min="19" max="19" width="9.88671875" style="1" customWidth="1"/>
    <col min="20" max="20" width="8" style="1" customWidth="1"/>
    <col min="21" max="21" width="3.5546875" style="1" customWidth="1"/>
    <col min="22" max="22" width="9.88671875" style="1" customWidth="1"/>
    <col min="23" max="23" width="9.44140625" style="1" customWidth="1"/>
    <col min="24" max="24" width="4.33203125" style="1" customWidth="1"/>
    <col min="25" max="25" width="10.5546875" style="1" customWidth="1"/>
    <col min="26" max="28" width="9.109375" style="1"/>
    <col min="29" max="29" width="10.33203125" style="1" customWidth="1"/>
    <col min="30" max="30" width="5.6640625" style="1" customWidth="1"/>
    <col min="31" max="31" width="9.33203125" style="1" customWidth="1"/>
    <col min="32" max="32" width="5" style="1" customWidth="1"/>
    <col min="33" max="33" width="5.33203125" style="1" customWidth="1"/>
    <col min="34" max="34" width="7.88671875" style="1" customWidth="1"/>
    <col min="35" max="35" width="6.88671875" style="1" customWidth="1"/>
    <col min="36" max="36" width="7.6640625" style="1" customWidth="1"/>
    <col min="37" max="40" width="9.109375" style="1"/>
    <col min="41" max="41" width="4" style="1" customWidth="1"/>
    <col min="42" max="43" width="9.109375" style="1"/>
    <col min="44" max="44" width="4.109375" style="1" customWidth="1"/>
    <col min="45" max="45" width="5.5546875" style="1" customWidth="1"/>
    <col min="46" max="46" width="7.5546875" style="1" customWidth="1"/>
    <col min="47" max="16384" width="9.109375" style="1"/>
  </cols>
  <sheetData>
    <row r="1" spans="2:37" ht="15.6" thickTop="1" thickBot="1" x14ac:dyDescent="0.35">
      <c r="B1" s="141" t="s">
        <v>159</v>
      </c>
      <c r="C1" s="142"/>
      <c r="D1" s="142"/>
      <c r="E1" s="143"/>
      <c r="G1" s="141" t="s">
        <v>160</v>
      </c>
      <c r="H1" s="142"/>
      <c r="I1" s="142"/>
      <c r="J1" s="142"/>
      <c r="K1" s="142"/>
      <c r="L1" s="142"/>
      <c r="M1" s="142"/>
      <c r="N1" s="142"/>
      <c r="O1" s="143"/>
      <c r="Q1" s="141" t="s">
        <v>158</v>
      </c>
      <c r="R1" s="142"/>
      <c r="S1" s="142"/>
      <c r="T1" s="142"/>
      <c r="U1" s="142"/>
      <c r="V1" s="142"/>
      <c r="W1" s="142"/>
      <c r="X1" s="142"/>
      <c r="Y1" s="143"/>
    </row>
    <row r="2" spans="2:37" ht="15" thickTop="1" x14ac:dyDescent="0.3">
      <c r="B2" s="39" t="s">
        <v>0</v>
      </c>
      <c r="C2" s="36" t="s">
        <v>35</v>
      </c>
      <c r="D2" s="36" t="s">
        <v>33</v>
      </c>
      <c r="E2" s="36" t="s">
        <v>34</v>
      </c>
      <c r="G2" s="40"/>
      <c r="H2" s="144" t="s">
        <v>47</v>
      </c>
      <c r="I2" s="145"/>
      <c r="J2" s="145"/>
      <c r="K2" s="145"/>
      <c r="L2" s="145"/>
      <c r="M2" s="145"/>
      <c r="N2" s="146"/>
      <c r="O2" s="147"/>
      <c r="Q2" s="40"/>
      <c r="R2" s="145" t="s">
        <v>47</v>
      </c>
      <c r="S2" s="145"/>
      <c r="T2" s="145"/>
      <c r="U2" s="145"/>
      <c r="V2" s="145"/>
      <c r="W2" s="145"/>
      <c r="X2" s="145"/>
      <c r="Y2" s="148"/>
      <c r="AA2" s="12"/>
    </row>
    <row r="3" spans="2:37" ht="14.4" x14ac:dyDescent="0.25">
      <c r="B3" s="35">
        <v>3</v>
      </c>
      <c r="C3" s="123">
        <v>0</v>
      </c>
      <c r="D3" s="36">
        <v>-0.1133230622</v>
      </c>
      <c r="E3" s="36">
        <v>0.21433723090000001</v>
      </c>
      <c r="G3" s="74"/>
      <c r="H3" s="137" t="s">
        <v>41</v>
      </c>
      <c r="I3" s="138"/>
      <c r="K3" s="137" t="s">
        <v>42</v>
      </c>
      <c r="L3" s="138"/>
      <c r="N3" s="139" t="s">
        <v>43</v>
      </c>
      <c r="O3" s="140"/>
      <c r="Q3" s="64"/>
      <c r="R3" s="137" t="s">
        <v>33</v>
      </c>
      <c r="S3" s="138"/>
      <c r="U3" s="137" t="s">
        <v>34</v>
      </c>
      <c r="V3" s="138"/>
      <c r="X3" s="137" t="s">
        <v>35</v>
      </c>
      <c r="Y3" s="138"/>
      <c r="AA3" s="12"/>
      <c r="AK3" s="12"/>
    </row>
    <row r="4" spans="2:37" x14ac:dyDescent="0.25">
      <c r="B4" s="35">
        <v>3.25</v>
      </c>
      <c r="C4" s="123">
        <v>0</v>
      </c>
      <c r="D4" s="36">
        <v>-0.10726352409999999</v>
      </c>
      <c r="E4" s="36">
        <v>0.2043372493</v>
      </c>
      <c r="G4" s="48" t="s">
        <v>1</v>
      </c>
      <c r="H4" s="49" t="s">
        <v>2</v>
      </c>
      <c r="I4" s="88">
        <v>-10.342000000000001</v>
      </c>
      <c r="J4" s="89"/>
      <c r="K4" s="90" t="s">
        <v>27</v>
      </c>
      <c r="L4" s="88">
        <v>-2.3268</v>
      </c>
      <c r="N4" s="51" t="s">
        <v>31</v>
      </c>
      <c r="O4" s="127">
        <v>0.88660000000000005</v>
      </c>
      <c r="Q4" s="41" t="s">
        <v>1</v>
      </c>
      <c r="R4" s="43" t="s">
        <v>8</v>
      </c>
      <c r="S4" s="92">
        <v>0.3901</v>
      </c>
      <c r="T4" s="45"/>
      <c r="U4" s="46" t="s">
        <v>14</v>
      </c>
      <c r="V4" s="92">
        <v>-1.6901999999999999</v>
      </c>
      <c r="W4" s="2"/>
      <c r="X4" s="43" t="s">
        <v>20</v>
      </c>
      <c r="Y4" s="47">
        <v>0</v>
      </c>
      <c r="AA4" s="12"/>
      <c r="AK4" s="2"/>
    </row>
    <row r="5" spans="2:37" x14ac:dyDescent="0.25">
      <c r="B5" s="35">
        <v>3.5</v>
      </c>
      <c r="C5" s="123">
        <v>0</v>
      </c>
      <c r="D5" s="36">
        <v>-0.10112519089999999</v>
      </c>
      <c r="E5" s="36">
        <v>0.19544711149999999</v>
      </c>
      <c r="G5" s="48" t="s">
        <v>49</v>
      </c>
      <c r="H5" s="49" t="s">
        <v>3</v>
      </c>
      <c r="I5" s="88">
        <v>2.2195999999999998</v>
      </c>
      <c r="J5" s="89"/>
      <c r="K5" s="91"/>
      <c r="L5" s="92"/>
      <c r="N5" s="51"/>
      <c r="O5" s="128"/>
      <c r="Q5" s="41" t="s">
        <v>67</v>
      </c>
      <c r="R5" s="43" t="s">
        <v>9</v>
      </c>
      <c r="S5" s="88">
        <v>-1.0579000000000001</v>
      </c>
      <c r="T5" s="45"/>
      <c r="U5" s="46" t="s">
        <v>15</v>
      </c>
      <c r="V5" s="92">
        <v>17.098600000000001</v>
      </c>
      <c r="X5" s="43" t="s">
        <v>21</v>
      </c>
      <c r="Y5" s="47">
        <v>0</v>
      </c>
      <c r="AA5" s="12"/>
    </row>
    <row r="6" spans="2:37" ht="13.8" x14ac:dyDescent="0.25">
      <c r="B6" s="35">
        <v>3.75</v>
      </c>
      <c r="C6" s="123">
        <v>0</v>
      </c>
      <c r="D6" s="36">
        <v>-9.5075697299999998E-2</v>
      </c>
      <c r="E6" s="36">
        <v>0.18721880129999999</v>
      </c>
      <c r="G6" s="48" t="s">
        <v>48</v>
      </c>
      <c r="H6" s="49" t="s">
        <v>4</v>
      </c>
      <c r="I6" s="88">
        <v>5.74E-2</v>
      </c>
      <c r="J6" s="89"/>
      <c r="K6" s="90" t="s">
        <v>28</v>
      </c>
      <c r="L6" s="88">
        <v>7.9799999999999996E-2</v>
      </c>
      <c r="N6" s="51" t="s">
        <v>32</v>
      </c>
      <c r="O6" s="129">
        <v>8.5000000000000006E-2</v>
      </c>
      <c r="Q6" s="41" t="s">
        <v>68</v>
      </c>
      <c r="R6" s="43" t="s">
        <v>10</v>
      </c>
      <c r="S6" s="92">
        <v>1.4742999999999999</v>
      </c>
      <c r="T6" s="45"/>
      <c r="U6" s="46" t="s">
        <v>16</v>
      </c>
      <c r="V6" s="92">
        <v>-68.164900000000003</v>
      </c>
      <c r="X6" s="43" t="s">
        <v>22</v>
      </c>
      <c r="Y6" s="47">
        <v>0</v>
      </c>
      <c r="AA6" s="12"/>
    </row>
    <row r="7" spans="2:37" ht="13.8" x14ac:dyDescent="0.25">
      <c r="B7" s="35">
        <v>4</v>
      </c>
      <c r="C7" s="123">
        <v>0</v>
      </c>
      <c r="D7" s="36">
        <v>-8.9260118599999994E-2</v>
      </c>
      <c r="E7" s="36">
        <v>0.17939119040000001</v>
      </c>
      <c r="G7" s="48" t="s">
        <v>50</v>
      </c>
      <c r="H7" s="49" t="s">
        <v>5</v>
      </c>
      <c r="I7" s="88">
        <v>-0.15890000000000001</v>
      </c>
      <c r="J7" s="89"/>
      <c r="K7" s="90" t="s">
        <v>29</v>
      </c>
      <c r="L7" s="88">
        <v>0.1096</v>
      </c>
      <c r="N7" s="51" t="s">
        <v>26</v>
      </c>
      <c r="O7" s="65" t="s">
        <v>35</v>
      </c>
      <c r="Q7" s="41" t="s">
        <v>69</v>
      </c>
      <c r="R7" s="43" t="s">
        <v>11</v>
      </c>
      <c r="S7" s="92">
        <v>-2.1076999999999999</v>
      </c>
      <c r="T7" s="45"/>
      <c r="U7" s="46" t="s">
        <v>17</v>
      </c>
      <c r="V7" s="92">
        <v>127.1964</v>
      </c>
      <c r="X7" s="43" t="s">
        <v>23</v>
      </c>
      <c r="Y7" s="47">
        <v>0</v>
      </c>
      <c r="AA7" s="12"/>
    </row>
    <row r="8" spans="2:37" ht="13.8" x14ac:dyDescent="0.25">
      <c r="B8" s="35">
        <v>4.25</v>
      </c>
      <c r="C8" s="123">
        <v>0</v>
      </c>
      <c r="D8" s="36">
        <v>-8.4068195900000003E-2</v>
      </c>
      <c r="E8" s="36">
        <v>0.17208717339999999</v>
      </c>
      <c r="G8" s="48" t="s">
        <v>51</v>
      </c>
      <c r="H8" s="49" t="s">
        <v>6</v>
      </c>
      <c r="I8" s="88">
        <v>-3.5099999999999999E-2</v>
      </c>
      <c r="J8" s="89"/>
      <c r="K8" s="90" t="s">
        <v>30</v>
      </c>
      <c r="L8" s="88">
        <v>-0.39729999999999999</v>
      </c>
      <c r="N8" s="51"/>
      <c r="O8" s="53"/>
      <c r="Q8" s="41" t="s">
        <v>70</v>
      </c>
      <c r="R8" s="43" t="s">
        <v>12</v>
      </c>
      <c r="S8" s="92">
        <f>S15</f>
        <v>0</v>
      </c>
      <c r="T8" s="45"/>
      <c r="U8" s="46" t="s">
        <v>18</v>
      </c>
      <c r="V8" s="92">
        <f>-113.6854-106.6777</f>
        <v>-220.3631</v>
      </c>
      <c r="X8" s="43" t="s">
        <v>24</v>
      </c>
      <c r="Y8" s="47">
        <v>0</v>
      </c>
      <c r="AA8" s="12"/>
    </row>
    <row r="9" spans="2:37" ht="13.8" x14ac:dyDescent="0.25">
      <c r="B9" s="35">
        <v>4.5</v>
      </c>
      <c r="C9" s="123">
        <v>0</v>
      </c>
      <c r="D9" s="36">
        <v>-7.9876849099999994E-2</v>
      </c>
      <c r="E9" s="36">
        <v>0.16534959199999999</v>
      </c>
      <c r="G9" s="48" t="s">
        <v>52</v>
      </c>
      <c r="H9" s="49" t="s">
        <v>38</v>
      </c>
      <c r="I9" s="88">
        <v>-8.8099999999999998E-2</v>
      </c>
      <c r="J9" s="89"/>
      <c r="K9" s="90" t="s">
        <v>44</v>
      </c>
      <c r="L9" s="88">
        <v>3.27E-2</v>
      </c>
      <c r="N9" s="51"/>
      <c r="O9" s="53"/>
      <c r="Q9" s="41" t="s">
        <v>71</v>
      </c>
      <c r="R9" s="43" t="s">
        <v>13</v>
      </c>
      <c r="S9" s="92">
        <v>0.88729999999999998</v>
      </c>
      <c r="T9" s="45"/>
      <c r="U9" s="46" t="s">
        <v>19</v>
      </c>
      <c r="V9" s="92">
        <v>35.683199999999999</v>
      </c>
      <c r="X9" s="43" t="s">
        <v>25</v>
      </c>
      <c r="Y9" s="47">
        <v>0</v>
      </c>
      <c r="AA9" s="12"/>
    </row>
    <row r="10" spans="2:37" ht="13.8" x14ac:dyDescent="0.25">
      <c r="B10" s="35">
        <v>4.75</v>
      </c>
      <c r="C10" s="123">
        <v>0</v>
      </c>
      <c r="D10" s="36">
        <v>-7.6882295700000006E-2</v>
      </c>
      <c r="E10" s="36">
        <v>0.1592091544</v>
      </c>
      <c r="G10" s="132" t="s">
        <v>171</v>
      </c>
      <c r="H10" s="51" t="s">
        <v>169</v>
      </c>
      <c r="I10" s="88">
        <v>-7.0800000000000002E-2</v>
      </c>
      <c r="K10" s="51" t="s">
        <v>170</v>
      </c>
      <c r="L10" s="88">
        <v>1.14E-2</v>
      </c>
      <c r="N10" s="51"/>
      <c r="O10" s="88"/>
      <c r="Q10" s="41" t="s">
        <v>72</v>
      </c>
      <c r="R10" s="43"/>
      <c r="S10" s="53"/>
      <c r="U10" s="43"/>
      <c r="V10" s="54"/>
      <c r="X10" s="43" t="s">
        <v>39</v>
      </c>
      <c r="Y10" s="55">
        <v>0</v>
      </c>
      <c r="AA10" s="12"/>
    </row>
    <row r="11" spans="2:37" ht="13.8" x14ac:dyDescent="0.25">
      <c r="B11" s="35">
        <v>5</v>
      </c>
      <c r="C11" s="123">
        <v>0</v>
      </c>
      <c r="D11" s="36">
        <v>-7.5242006099999995E-2</v>
      </c>
      <c r="E11" s="36">
        <v>0.1534965724</v>
      </c>
      <c r="G11" s="56"/>
      <c r="H11" s="57"/>
      <c r="I11" s="58" t="s">
        <v>33</v>
      </c>
      <c r="K11" s="59"/>
      <c r="L11" s="58" t="s">
        <v>34</v>
      </c>
      <c r="N11" s="59"/>
      <c r="O11" s="62"/>
      <c r="Q11" s="64" t="s">
        <v>133</v>
      </c>
      <c r="R11" s="61"/>
      <c r="S11" s="62"/>
      <c r="U11" s="61"/>
      <c r="V11" s="62"/>
      <c r="X11" s="61" t="s">
        <v>40</v>
      </c>
      <c r="Y11" s="63">
        <v>0</v>
      </c>
      <c r="AA11" s="12"/>
    </row>
    <row r="12" spans="2:37" x14ac:dyDescent="0.25">
      <c r="B12" s="35">
        <v>5.25</v>
      </c>
      <c r="C12" s="123">
        <v>0</v>
      </c>
      <c r="D12" s="36">
        <v>-7.5003513800000005E-2</v>
      </c>
      <c r="E12" s="36">
        <v>0.14792864829999999</v>
      </c>
      <c r="AA12" s="12"/>
    </row>
    <row r="13" spans="2:37" x14ac:dyDescent="0.25">
      <c r="B13" s="35">
        <v>5.5</v>
      </c>
      <c r="C13" s="123">
        <v>0</v>
      </c>
      <c r="D13" s="36">
        <v>-7.5784564200000001E-2</v>
      </c>
      <c r="E13" s="36">
        <v>0.14208458060000001</v>
      </c>
      <c r="Q13" s="85"/>
      <c r="R13" s="35"/>
      <c r="S13" s="35"/>
      <c r="T13" s="35"/>
      <c r="U13" s="35"/>
      <c r="V13" s="35"/>
      <c r="W13" s="85"/>
      <c r="X13" s="12"/>
      <c r="Y13" s="12"/>
      <c r="Z13" s="12"/>
      <c r="AA13" s="12"/>
      <c r="AB13" s="12"/>
      <c r="AC13" s="12"/>
    </row>
    <row r="14" spans="2:37" x14ac:dyDescent="0.25">
      <c r="B14" s="35">
        <v>5.75</v>
      </c>
      <c r="C14" s="123">
        <v>0</v>
      </c>
      <c r="D14" s="36">
        <v>-7.7135678400000005E-2</v>
      </c>
      <c r="E14" s="36">
        <v>0.13560118539999999</v>
      </c>
      <c r="P14" s="85"/>
      <c r="Q14" s="85"/>
      <c r="R14" s="35"/>
      <c r="S14" s="35"/>
      <c r="T14" s="35"/>
      <c r="U14" s="35"/>
      <c r="V14" s="35"/>
      <c r="W14" s="85"/>
      <c r="Z14" s="36"/>
    </row>
    <row r="15" spans="2:37" x14ac:dyDescent="0.25">
      <c r="B15" s="35">
        <v>6</v>
      </c>
      <c r="C15" s="123">
        <v>0</v>
      </c>
      <c r="D15" s="36">
        <v>-7.8741977500000004E-2</v>
      </c>
      <c r="E15" s="36">
        <v>0.1284532609</v>
      </c>
      <c r="H15" s="2" t="s">
        <v>168</v>
      </c>
      <c r="I15" s="7"/>
      <c r="P15" s="85"/>
      <c r="Q15" s="85"/>
      <c r="R15" s="85"/>
      <c r="S15" s="36"/>
      <c r="T15" s="35"/>
      <c r="U15" s="35"/>
      <c r="V15" s="35"/>
      <c r="W15" s="85"/>
      <c r="Y15" s="12"/>
      <c r="Z15" s="12"/>
      <c r="AA15" s="12"/>
      <c r="AB15" s="12"/>
      <c r="AC15" s="12"/>
      <c r="AD15" s="85"/>
    </row>
    <row r="16" spans="2:37" x14ac:dyDescent="0.25">
      <c r="B16" s="35">
        <v>6.25</v>
      </c>
      <c r="C16" s="123">
        <v>0</v>
      </c>
      <c r="D16" s="36">
        <v>-8.0326739600000002E-2</v>
      </c>
      <c r="E16" s="36">
        <v>0.120466517</v>
      </c>
      <c r="H16" s="1" t="s">
        <v>74</v>
      </c>
      <c r="I16" s="7"/>
      <c r="P16" s="85"/>
      <c r="Q16" s="85"/>
      <c r="R16" s="85"/>
      <c r="S16" s="35"/>
      <c r="T16" s="35"/>
      <c r="U16" s="35"/>
      <c r="V16" s="35"/>
      <c r="W16" s="85"/>
      <c r="Y16" s="12"/>
      <c r="Z16" s="12"/>
      <c r="AA16" s="12"/>
      <c r="AB16" s="12"/>
      <c r="AC16" s="12"/>
    </row>
    <row r="17" spans="1:29" x14ac:dyDescent="0.25">
      <c r="B17" s="35">
        <v>6.5</v>
      </c>
      <c r="C17" s="123">
        <v>0</v>
      </c>
      <c r="D17" s="36">
        <v>-8.1636320700000001E-2</v>
      </c>
      <c r="E17" s="36">
        <v>0.1114605994</v>
      </c>
      <c r="H17" s="1" t="s">
        <v>73</v>
      </c>
      <c r="I17" s="7"/>
      <c r="P17" s="85"/>
      <c r="Q17" s="85"/>
      <c r="R17" s="35"/>
      <c r="S17" s="35"/>
      <c r="T17" s="35"/>
      <c r="U17" s="85"/>
      <c r="V17" s="35"/>
      <c r="W17" s="85"/>
      <c r="Y17" s="12"/>
      <c r="Z17" s="12"/>
      <c r="AA17" s="12"/>
      <c r="AB17" s="12"/>
      <c r="AC17" s="12"/>
    </row>
    <row r="18" spans="1:29" ht="12" customHeight="1" x14ac:dyDescent="0.25">
      <c r="B18" s="35">
        <v>6.75</v>
      </c>
      <c r="C18" s="123">
        <v>0</v>
      </c>
      <c r="D18" s="36">
        <v>-8.2308497300000005E-2</v>
      </c>
      <c r="E18" s="36">
        <v>0.10160256650000001</v>
      </c>
      <c r="H18" s="1" t="s">
        <v>37</v>
      </c>
      <c r="I18" s="7"/>
      <c r="P18" s="85"/>
      <c r="Q18" s="85"/>
      <c r="R18" s="35"/>
      <c r="S18" s="35"/>
      <c r="T18" s="35"/>
      <c r="U18" s="35"/>
      <c r="V18" s="35"/>
      <c r="W18" s="85"/>
      <c r="Y18" s="12"/>
      <c r="Z18" s="12"/>
      <c r="AA18" s="12"/>
      <c r="AB18" s="12"/>
      <c r="AC18" s="12"/>
    </row>
    <row r="19" spans="1:29" x14ac:dyDescent="0.25">
      <c r="B19" s="35">
        <v>7</v>
      </c>
      <c r="C19" s="123">
        <v>0</v>
      </c>
      <c r="D19" s="36">
        <v>-8.22026483E-2</v>
      </c>
      <c r="E19" s="36">
        <v>9.1158685200000006E-2</v>
      </c>
      <c r="P19" s="85"/>
      <c r="R19" s="85"/>
      <c r="S19" s="35"/>
      <c r="T19" s="85"/>
      <c r="U19" s="35"/>
      <c r="V19" s="85"/>
      <c r="W19" s="35"/>
      <c r="Y19" s="12"/>
      <c r="Z19" s="12"/>
      <c r="AA19" s="12"/>
      <c r="AB19" s="12"/>
      <c r="AC19" s="12"/>
    </row>
    <row r="20" spans="1:29" x14ac:dyDescent="0.25">
      <c r="B20" s="35">
        <v>7.25</v>
      </c>
      <c r="C20" s="123">
        <v>0</v>
      </c>
      <c r="D20" s="36">
        <v>-8.1484428100000006E-2</v>
      </c>
      <c r="E20" s="36">
        <v>8.0079607600000005E-2</v>
      </c>
      <c r="H20" s="1" t="s">
        <v>82</v>
      </c>
      <c r="I20" s="7"/>
      <c r="P20" s="85"/>
      <c r="R20" s="85"/>
      <c r="S20" s="35"/>
      <c r="T20" s="85"/>
      <c r="U20" s="35"/>
      <c r="V20" s="35"/>
      <c r="W20" s="35"/>
      <c r="Y20" s="12"/>
      <c r="Z20" s="12"/>
      <c r="AA20" s="12"/>
      <c r="AB20" s="12"/>
      <c r="AC20" s="12"/>
    </row>
    <row r="21" spans="1:29" x14ac:dyDescent="0.25">
      <c r="B21" s="35">
        <v>7.5</v>
      </c>
      <c r="C21" s="123">
        <v>0</v>
      </c>
      <c r="D21" s="36">
        <v>-8.0424936500000002E-2</v>
      </c>
      <c r="E21" s="36">
        <v>6.8502814499999995E-2</v>
      </c>
      <c r="H21" s="1" t="s">
        <v>81</v>
      </c>
      <c r="I21" s="7"/>
      <c r="P21" s="85"/>
      <c r="R21" s="85"/>
      <c r="S21" s="35"/>
      <c r="T21" s="85"/>
      <c r="U21" s="35"/>
      <c r="V21" s="35"/>
      <c r="W21" s="35"/>
      <c r="Y21" s="12"/>
      <c r="Z21" s="12"/>
      <c r="AA21" s="12"/>
      <c r="AB21" s="12"/>
      <c r="AC21" s="12"/>
    </row>
    <row r="22" spans="1:29" x14ac:dyDescent="0.25">
      <c r="B22" s="35">
        <v>7.75</v>
      </c>
      <c r="C22" s="123">
        <v>0</v>
      </c>
      <c r="D22" s="36">
        <v>-7.9176598099999995E-2</v>
      </c>
      <c r="E22" s="36">
        <v>5.6480772800000002E-2</v>
      </c>
      <c r="H22" s="1" t="s">
        <v>75</v>
      </c>
      <c r="I22" s="1" t="s">
        <v>76</v>
      </c>
      <c r="P22" s="85"/>
      <c r="R22" s="85"/>
      <c r="S22" s="35"/>
      <c r="T22" s="85"/>
      <c r="U22" s="35"/>
      <c r="V22" s="35"/>
      <c r="W22" s="35"/>
      <c r="Y22" s="12"/>
      <c r="Z22" s="12"/>
      <c r="AA22" s="12"/>
      <c r="AB22" s="12"/>
      <c r="AC22" s="12"/>
    </row>
    <row r="23" spans="1:29" x14ac:dyDescent="0.25">
      <c r="B23" s="35">
        <v>8</v>
      </c>
      <c r="C23" s="123">
        <v>0</v>
      </c>
      <c r="D23" s="36">
        <v>-7.7830162199999997E-2</v>
      </c>
      <c r="E23" s="36">
        <v>4.3939479500000003E-2</v>
      </c>
      <c r="H23" s="1" t="s">
        <v>77</v>
      </c>
      <c r="I23" s="1" t="s">
        <v>78</v>
      </c>
      <c r="P23" s="85"/>
      <c r="Y23" s="19"/>
      <c r="Z23" s="19"/>
    </row>
    <row r="24" spans="1:29" x14ac:dyDescent="0.25">
      <c r="B24" s="35">
        <v>8.25</v>
      </c>
      <c r="C24" s="123">
        <v>0</v>
      </c>
      <c r="D24" s="36">
        <v>-7.63292686E-2</v>
      </c>
      <c r="E24" s="36">
        <v>3.0828477199999999E-2</v>
      </c>
      <c r="H24" s="1" t="s">
        <v>79</v>
      </c>
      <c r="I24" s="1" t="s">
        <v>80</v>
      </c>
      <c r="P24" s="85"/>
      <c r="Y24" s="7"/>
      <c r="Z24" s="19"/>
    </row>
    <row r="25" spans="1:29" x14ac:dyDescent="0.25">
      <c r="B25" s="35">
        <v>8.5</v>
      </c>
      <c r="C25" s="123">
        <v>0</v>
      </c>
      <c r="D25" s="36">
        <v>-7.4486143000000005E-2</v>
      </c>
      <c r="E25" s="36">
        <v>1.7367677200000001E-2</v>
      </c>
      <c r="H25" s="1" t="s">
        <v>171</v>
      </c>
      <c r="I25" s="1" t="s">
        <v>172</v>
      </c>
      <c r="P25" s="85"/>
      <c r="Y25" s="7"/>
      <c r="Z25" s="19"/>
    </row>
    <row r="26" spans="1:29" x14ac:dyDescent="0.25">
      <c r="B26" s="35">
        <v>8.75</v>
      </c>
      <c r="C26" s="123">
        <v>0</v>
      </c>
      <c r="D26" s="36">
        <v>-7.2077824400000004E-2</v>
      </c>
      <c r="E26" s="36">
        <v>3.8669185000000002E-3</v>
      </c>
      <c r="P26" s="85"/>
      <c r="Z26" s="36"/>
    </row>
    <row r="27" spans="1:29" ht="12.75" customHeight="1" x14ac:dyDescent="0.25">
      <c r="B27" s="35">
        <v>9</v>
      </c>
      <c r="C27" s="123">
        <v>0</v>
      </c>
      <c r="D27" s="36">
        <v>-6.9124030899999994E-2</v>
      </c>
      <c r="E27" s="36">
        <v>-9.1507279000000007E-3</v>
      </c>
      <c r="H27" s="11" t="s">
        <v>148</v>
      </c>
      <c r="P27" s="85"/>
      <c r="Z27" s="36"/>
    </row>
    <row r="28" spans="1:29" x14ac:dyDescent="0.25">
      <c r="B28" s="35">
        <v>9.25</v>
      </c>
      <c r="C28" s="123">
        <v>0</v>
      </c>
      <c r="D28" s="36">
        <v>-6.5769567799999998E-2</v>
      </c>
      <c r="E28" s="36">
        <v>-2.10454809E-2</v>
      </c>
      <c r="H28" s="9" t="s">
        <v>45</v>
      </c>
      <c r="P28" s="85"/>
      <c r="X28" s="18"/>
      <c r="Y28" s="18"/>
      <c r="Z28" s="34"/>
    </row>
    <row r="29" spans="1:29" x14ac:dyDescent="0.25">
      <c r="B29" s="35">
        <v>9.5</v>
      </c>
      <c r="C29" s="123">
        <v>0</v>
      </c>
      <c r="D29" s="36">
        <v>-6.22102514E-2</v>
      </c>
      <c r="E29" s="36">
        <v>-3.1340612699999999E-2</v>
      </c>
      <c r="H29" s="9"/>
      <c r="P29" s="85"/>
      <c r="X29" s="18"/>
      <c r="Y29" s="18"/>
      <c r="Z29" s="34"/>
    </row>
    <row r="30" spans="1:29" x14ac:dyDescent="0.25">
      <c r="B30" s="35">
        <v>9.75</v>
      </c>
      <c r="C30" s="123">
        <v>0</v>
      </c>
      <c r="D30" s="36">
        <v>-5.8572493900000001E-2</v>
      </c>
      <c r="E30" s="36">
        <v>-3.9720179299999998E-2</v>
      </c>
      <c r="H30" s="60" t="s">
        <v>54</v>
      </c>
      <c r="I30" s="5"/>
      <c r="P30" s="85"/>
      <c r="U30" s="7"/>
      <c r="V30" s="7"/>
      <c r="W30" s="7"/>
      <c r="X30" s="7"/>
      <c r="Y30" s="7"/>
      <c r="Z30" s="7"/>
    </row>
    <row r="31" spans="1:29" x14ac:dyDescent="0.25">
      <c r="A31" s="8"/>
      <c r="B31" s="35">
        <v>10</v>
      </c>
      <c r="C31" s="123">
        <v>0</v>
      </c>
      <c r="D31" s="36">
        <v>-5.4919137299999997E-2</v>
      </c>
      <c r="E31" s="36">
        <v>-4.6075542800000001E-2</v>
      </c>
      <c r="H31" s="10" t="s">
        <v>175</v>
      </c>
      <c r="I31" s="5"/>
      <c r="P31" s="85"/>
      <c r="Y31" s="19"/>
      <c r="Z31" s="19"/>
    </row>
    <row r="32" spans="1:29" ht="12" customHeight="1" x14ac:dyDescent="0.25">
      <c r="B32" s="35">
        <v>10.25</v>
      </c>
      <c r="C32" s="123">
        <v>0</v>
      </c>
      <c r="D32" s="36">
        <v>-5.1282440200000001E-2</v>
      </c>
      <c r="E32" s="36">
        <v>-5.04066783E-2</v>
      </c>
      <c r="H32" s="10" t="s">
        <v>53</v>
      </c>
      <c r="I32" s="5"/>
      <c r="P32" s="85"/>
      <c r="Y32" s="19"/>
      <c r="Z32" s="19"/>
    </row>
    <row r="33" spans="2:36" x14ac:dyDescent="0.25">
      <c r="B33" s="35">
        <v>10.5</v>
      </c>
      <c r="C33" s="123">
        <v>0</v>
      </c>
      <c r="D33" s="36">
        <v>-4.7580083099999997E-2</v>
      </c>
      <c r="E33" s="36">
        <v>-5.2812472999999999E-2</v>
      </c>
      <c r="H33" s="1" t="s">
        <v>55</v>
      </c>
      <c r="P33" s="85"/>
      <c r="Y33" s="7"/>
      <c r="Z33" s="19"/>
    </row>
    <row r="34" spans="2:36" x14ac:dyDescent="0.25">
      <c r="B34" s="35">
        <v>10.75</v>
      </c>
      <c r="C34" s="123">
        <v>0</v>
      </c>
      <c r="D34" s="36">
        <v>-4.3701382699999999E-2</v>
      </c>
      <c r="E34" s="36">
        <v>-5.3452997799999999E-2</v>
      </c>
      <c r="P34" s="85"/>
    </row>
    <row r="35" spans="2:36" x14ac:dyDescent="0.25">
      <c r="B35" s="35">
        <v>11</v>
      </c>
      <c r="C35" s="123">
        <v>0</v>
      </c>
      <c r="D35" s="36">
        <v>-3.9548719400000001E-2</v>
      </c>
      <c r="E35" s="36">
        <v>-5.2533837799999997E-2</v>
      </c>
      <c r="G35" s="85"/>
      <c r="P35" s="85"/>
    </row>
    <row r="36" spans="2:36" ht="12" customHeight="1" x14ac:dyDescent="0.25">
      <c r="B36" s="35">
        <v>11.25</v>
      </c>
      <c r="C36" s="123">
        <v>0</v>
      </c>
      <c r="D36" s="36">
        <v>-3.5000068500000002E-2</v>
      </c>
      <c r="E36" s="36">
        <v>-5.0339956900000003E-2</v>
      </c>
      <c r="G36" s="85"/>
      <c r="P36" s="85"/>
      <c r="AJ36" s="19"/>
    </row>
    <row r="37" spans="2:36" x14ac:dyDescent="0.25">
      <c r="B37" s="35">
        <v>11.5</v>
      </c>
      <c r="C37" s="123">
        <v>0</v>
      </c>
      <c r="D37" s="36">
        <v>-2.99095656E-2</v>
      </c>
      <c r="E37" s="36">
        <v>-4.7159589500000001E-2</v>
      </c>
      <c r="F37" s="6"/>
      <c r="G37" s="85"/>
      <c r="AJ37" s="19"/>
    </row>
    <row r="38" spans="2:36" x14ac:dyDescent="0.25">
      <c r="B38" s="35">
        <v>11.75</v>
      </c>
      <c r="C38" s="123">
        <v>0</v>
      </c>
      <c r="D38" s="36">
        <v>-2.4132808700000001E-2</v>
      </c>
      <c r="E38" s="36">
        <v>-4.32006791E-2</v>
      </c>
      <c r="F38" s="6"/>
      <c r="G38" s="85"/>
      <c r="AJ38" s="19"/>
    </row>
    <row r="39" spans="2:36" x14ac:dyDescent="0.25">
      <c r="B39" s="35">
        <v>12</v>
      </c>
      <c r="C39" s="123">
        <v>0</v>
      </c>
      <c r="D39" s="36">
        <v>-1.75605902E-2</v>
      </c>
      <c r="E39" s="36">
        <v>-3.8683992399999999E-2</v>
      </c>
      <c r="F39" s="6"/>
      <c r="G39" s="85"/>
      <c r="AJ39" s="19"/>
    </row>
    <row r="40" spans="2:36" x14ac:dyDescent="0.25">
      <c r="B40" s="35">
        <v>12.25</v>
      </c>
      <c r="C40" s="123">
        <v>0</v>
      </c>
      <c r="D40" s="36">
        <v>-1.0145319999999999E-2</v>
      </c>
      <c r="E40" s="36">
        <v>-3.3851412499999997E-2</v>
      </c>
      <c r="F40" s="6"/>
      <c r="G40" s="85"/>
      <c r="AJ40" s="19"/>
    </row>
    <row r="41" spans="2:36" x14ac:dyDescent="0.25">
      <c r="B41" s="35">
        <v>12.5</v>
      </c>
      <c r="C41" s="123">
        <v>0</v>
      </c>
      <c r="D41" s="36">
        <v>-1.9026895999999999E-3</v>
      </c>
      <c r="E41" s="36">
        <v>-2.8970167099999999E-2</v>
      </c>
      <c r="F41" s="6"/>
      <c r="G41" s="85"/>
      <c r="AJ41" s="19"/>
    </row>
    <row r="42" spans="2:36" x14ac:dyDescent="0.25">
      <c r="B42" s="35">
        <v>12.75</v>
      </c>
      <c r="C42" s="123">
        <v>0</v>
      </c>
      <c r="D42" s="36">
        <v>7.1457619000000003E-3</v>
      </c>
      <c r="E42" s="36">
        <v>-2.4270384400000001E-2</v>
      </c>
      <c r="F42" s="6"/>
      <c r="G42" s="85"/>
      <c r="AJ42" s="7"/>
    </row>
    <row r="43" spans="2:36" x14ac:dyDescent="0.25">
      <c r="B43" s="35">
        <v>13</v>
      </c>
      <c r="C43" s="123">
        <v>0</v>
      </c>
      <c r="D43" s="36">
        <v>1.6942924000000002E-2</v>
      </c>
      <c r="E43" s="36">
        <v>-1.9949268199999998E-2</v>
      </c>
      <c r="F43" s="6"/>
      <c r="G43" s="85"/>
    </row>
    <row r="44" spans="2:36" x14ac:dyDescent="0.25">
      <c r="B44" s="35">
        <v>13.25</v>
      </c>
      <c r="C44" s="123">
        <v>0</v>
      </c>
      <c r="D44" s="36">
        <v>2.7389551700000001E-2</v>
      </c>
      <c r="E44" s="36">
        <v>-1.61697796E-2</v>
      </c>
      <c r="G44" s="85"/>
      <c r="Y44" s="19"/>
      <c r="Z44" s="19"/>
    </row>
    <row r="45" spans="2:36" x14ac:dyDescent="0.25">
      <c r="B45" s="35">
        <v>13.5</v>
      </c>
      <c r="C45" s="123">
        <v>0</v>
      </c>
      <c r="D45" s="36">
        <v>3.8352338100000001E-2</v>
      </c>
      <c r="E45" s="36">
        <v>-1.30490971E-2</v>
      </c>
      <c r="G45" s="85"/>
      <c r="P45" s="2"/>
      <c r="Y45" s="7"/>
      <c r="Z45" s="19"/>
    </row>
    <row r="46" spans="2:36" ht="12" customHeight="1" x14ac:dyDescent="0.25">
      <c r="B46" s="35">
        <v>13.75</v>
      </c>
      <c r="C46" s="123">
        <v>0</v>
      </c>
      <c r="D46" s="36">
        <v>4.9678532400000003E-2</v>
      </c>
      <c r="E46" s="36">
        <v>-1.0677877800000001E-2</v>
      </c>
      <c r="F46" s="6"/>
      <c r="G46" s="85"/>
      <c r="H46" s="35"/>
      <c r="O46" s="36"/>
      <c r="Y46" s="7"/>
      <c r="Z46" s="19"/>
    </row>
    <row r="47" spans="2:36" x14ac:dyDescent="0.25">
      <c r="B47" s="35">
        <v>14</v>
      </c>
      <c r="C47" s="123">
        <v>0</v>
      </c>
      <c r="D47" s="36">
        <v>6.12203578E-2</v>
      </c>
      <c r="E47" s="36">
        <v>-9.0993723999999998E-3</v>
      </c>
      <c r="F47" s="6"/>
      <c r="G47" s="85"/>
      <c r="O47" s="36"/>
      <c r="Z47" s="36"/>
      <c r="AJ47" s="19"/>
    </row>
    <row r="48" spans="2:36" x14ac:dyDescent="0.25">
      <c r="B48" s="35">
        <v>14.25</v>
      </c>
      <c r="C48" s="123">
        <v>0</v>
      </c>
      <c r="D48" s="36">
        <v>7.2832322000000005E-2</v>
      </c>
      <c r="E48" s="36">
        <v>-8.3385174999999999E-3</v>
      </c>
      <c r="F48" s="6"/>
      <c r="G48" s="85"/>
      <c r="J48" s="5"/>
      <c r="O48" s="36"/>
      <c r="Z48" s="36"/>
      <c r="AJ48" s="19"/>
    </row>
    <row r="49" spans="2:36" ht="12" customHeight="1" x14ac:dyDescent="0.25">
      <c r="B49" s="35">
        <v>14.5</v>
      </c>
      <c r="C49" s="123">
        <v>0</v>
      </c>
      <c r="D49" s="36">
        <v>8.4384403900000002E-2</v>
      </c>
      <c r="E49" s="36">
        <v>-8.3940908999999998E-3</v>
      </c>
      <c r="F49" s="6"/>
      <c r="G49" s="85"/>
      <c r="O49" s="36"/>
      <c r="R49" s="18"/>
      <c r="U49" s="18"/>
      <c r="V49" s="34"/>
      <c r="X49" s="18"/>
      <c r="Y49" s="18"/>
      <c r="Z49" s="34"/>
      <c r="AJ49" s="19"/>
    </row>
    <row r="50" spans="2:36" x14ac:dyDescent="0.25">
      <c r="B50" s="35">
        <v>14.75</v>
      </c>
      <c r="C50" s="123">
        <v>0</v>
      </c>
      <c r="D50" s="36">
        <v>9.5757277099999996E-2</v>
      </c>
      <c r="E50" s="36">
        <v>-9.2251630999999994E-3</v>
      </c>
      <c r="F50" s="6"/>
      <c r="G50" s="85"/>
      <c r="O50" s="36"/>
      <c r="R50" s="18"/>
      <c r="S50" s="34"/>
      <c r="U50" s="18"/>
      <c r="V50" s="34"/>
      <c r="X50" s="18"/>
      <c r="Y50" s="18"/>
      <c r="Z50" s="34"/>
      <c r="AJ50" s="19"/>
    </row>
    <row r="51" spans="2:36" x14ac:dyDescent="0.25">
      <c r="B51" s="35">
        <v>15</v>
      </c>
      <c r="C51" s="123">
        <v>0</v>
      </c>
      <c r="D51" s="36">
        <v>0.10682623500000001</v>
      </c>
      <c r="E51" s="36">
        <v>-1.07926554E-2</v>
      </c>
      <c r="F51" s="6"/>
      <c r="G51" s="85"/>
      <c r="O51" s="36"/>
      <c r="R51" s="7"/>
      <c r="S51" s="34"/>
      <c r="T51" s="7"/>
      <c r="U51" s="7"/>
      <c r="V51" s="7"/>
      <c r="W51" s="7"/>
      <c r="X51" s="7"/>
      <c r="Y51" s="7"/>
      <c r="Z51" s="7"/>
      <c r="AJ51" s="7"/>
    </row>
    <row r="52" spans="2:36" x14ac:dyDescent="0.25">
      <c r="B52" s="35">
        <v>15.25</v>
      </c>
      <c r="C52" s="123">
        <v>0</v>
      </c>
      <c r="D52" s="36">
        <v>0.1174742398</v>
      </c>
      <c r="E52" s="36">
        <v>-1.3063443100000001E-2</v>
      </c>
      <c r="F52" s="6"/>
      <c r="G52" s="85"/>
      <c r="O52" s="36"/>
      <c r="Y52" s="19"/>
      <c r="Z52" s="19"/>
    </row>
    <row r="53" spans="2:36" x14ac:dyDescent="0.25">
      <c r="B53" s="35">
        <v>15.5</v>
      </c>
      <c r="C53" s="123">
        <v>0</v>
      </c>
      <c r="D53" s="36">
        <v>0.1276008974</v>
      </c>
      <c r="E53" s="36">
        <v>-1.5984699299999999E-2</v>
      </c>
      <c r="F53" s="6"/>
      <c r="G53" s="85"/>
      <c r="J53" s="18"/>
      <c r="K53" s="34"/>
      <c r="M53" s="18"/>
      <c r="N53" s="18"/>
      <c r="O53" s="34"/>
      <c r="Y53" s="19"/>
      <c r="Z53" s="19"/>
    </row>
    <row r="54" spans="2:36" x14ac:dyDescent="0.25">
      <c r="B54" s="35">
        <v>15.75</v>
      </c>
      <c r="C54" s="123">
        <v>0</v>
      </c>
      <c r="D54" s="36">
        <v>0.13713097739999999</v>
      </c>
      <c r="E54" s="36">
        <v>-1.94704939E-2</v>
      </c>
      <c r="G54" s="85"/>
      <c r="J54" s="18"/>
      <c r="K54" s="34"/>
      <c r="M54" s="18"/>
      <c r="N54" s="18"/>
      <c r="O54" s="34"/>
      <c r="Y54" s="7"/>
      <c r="Z54" s="19"/>
    </row>
    <row r="55" spans="2:36" x14ac:dyDescent="0.25">
      <c r="B55" s="35">
        <v>16</v>
      </c>
      <c r="C55" s="123">
        <v>0</v>
      </c>
      <c r="D55" s="36">
        <v>0.146004943</v>
      </c>
      <c r="E55" s="36">
        <v>-2.3432813300000001E-2</v>
      </c>
      <c r="G55" s="85"/>
      <c r="J55" s="7"/>
      <c r="K55" s="7"/>
      <c r="L55" s="7"/>
      <c r="M55" s="7"/>
      <c r="N55" s="7"/>
      <c r="O55" s="7"/>
      <c r="P55" s="2"/>
      <c r="Y55" s="7"/>
      <c r="Z55" s="19"/>
    </row>
    <row r="56" spans="2:36" x14ac:dyDescent="0.25">
      <c r="B56" s="35">
        <v>16.25</v>
      </c>
      <c r="C56" s="123">
        <v>0</v>
      </c>
      <c r="D56" s="36">
        <v>0.1541754152</v>
      </c>
      <c r="E56" s="36">
        <v>-2.7777003599999999E-2</v>
      </c>
      <c r="G56" s="85"/>
      <c r="I56" s="7"/>
      <c r="O56" s="36"/>
      <c r="Y56" s="19"/>
      <c r="Z56" s="19"/>
    </row>
    <row r="57" spans="2:36" x14ac:dyDescent="0.25">
      <c r="B57" s="35">
        <v>16.5</v>
      </c>
      <c r="C57" s="123">
        <v>0</v>
      </c>
      <c r="D57" s="36">
        <v>0.1616232383</v>
      </c>
      <c r="E57" s="36">
        <v>-3.2405595299999999E-2</v>
      </c>
      <c r="F57" s="6"/>
      <c r="G57" s="85"/>
      <c r="O57" s="36"/>
      <c r="Y57" s="19"/>
    </row>
    <row r="58" spans="2:36" x14ac:dyDescent="0.25">
      <c r="B58" s="35">
        <v>16.75</v>
      </c>
      <c r="C58" s="123">
        <v>0</v>
      </c>
      <c r="D58" s="36">
        <v>0.16835482260000001</v>
      </c>
      <c r="E58" s="36">
        <v>-3.7227238699999998E-2</v>
      </c>
      <c r="F58" s="6"/>
      <c r="J58" s="5"/>
      <c r="O58" s="36"/>
      <c r="Y58" s="19"/>
    </row>
    <row r="59" spans="2:36" x14ac:dyDescent="0.25">
      <c r="B59" s="35">
        <v>17</v>
      </c>
      <c r="C59" s="123">
        <v>0</v>
      </c>
      <c r="D59" s="36">
        <v>0.17439113889999999</v>
      </c>
      <c r="E59" s="36">
        <v>-4.2149098099999997E-2</v>
      </c>
      <c r="F59" s="6"/>
      <c r="O59" s="36"/>
      <c r="Y59" s="19"/>
    </row>
    <row r="60" spans="2:36" x14ac:dyDescent="0.25">
      <c r="B60" s="35">
        <v>17.25</v>
      </c>
      <c r="C60" s="123">
        <v>0</v>
      </c>
      <c r="D60" s="36">
        <v>0.17975965250000001</v>
      </c>
      <c r="E60" s="36">
        <v>-4.7089348900000001E-2</v>
      </c>
      <c r="F60" s="6"/>
      <c r="H60" s="35"/>
      <c r="O60" s="36"/>
      <c r="Y60" s="19"/>
    </row>
    <row r="61" spans="2:36" x14ac:dyDescent="0.25">
      <c r="B61" s="35">
        <v>17.5</v>
      </c>
      <c r="C61" s="123">
        <v>0</v>
      </c>
      <c r="D61" s="36">
        <v>0.1845082341</v>
      </c>
      <c r="E61" s="36">
        <v>-5.1982736000000002E-2</v>
      </c>
      <c r="F61" s="6"/>
      <c r="H61" s="35" t="s">
        <v>137</v>
      </c>
      <c r="O61" s="36"/>
      <c r="Y61" s="19"/>
    </row>
    <row r="62" spans="2:36" x14ac:dyDescent="0.25">
      <c r="B62" s="35">
        <v>17.75</v>
      </c>
      <c r="C62" s="123">
        <v>0</v>
      </c>
      <c r="D62" s="36">
        <v>0.18869475960000001</v>
      </c>
      <c r="E62" s="36">
        <v>-5.6778720400000003E-2</v>
      </c>
      <c r="F62" s="6"/>
      <c r="H62" s="35" t="s">
        <v>139</v>
      </c>
      <c r="O62" s="36"/>
      <c r="Y62" s="19"/>
    </row>
    <row r="63" spans="2:36" ht="12" customHeight="1" x14ac:dyDescent="0.25">
      <c r="B63" s="35">
        <v>18</v>
      </c>
      <c r="C63" s="123">
        <v>0</v>
      </c>
      <c r="D63" s="36">
        <v>0.19237454470000001</v>
      </c>
      <c r="E63" s="36">
        <v>-6.1438498799999998E-2</v>
      </c>
      <c r="F63" s="6"/>
      <c r="G63" s="18"/>
      <c r="H63" s="35" t="s">
        <v>140</v>
      </c>
      <c r="J63" s="18"/>
      <c r="K63" s="34"/>
      <c r="M63" s="18"/>
      <c r="N63" s="18"/>
      <c r="O63" s="34"/>
      <c r="Y63" s="19"/>
    </row>
    <row r="64" spans="2:36" x14ac:dyDescent="0.25">
      <c r="B64" s="35">
        <v>18.25</v>
      </c>
      <c r="C64" s="123">
        <v>0</v>
      </c>
      <c r="D64" s="36">
        <v>0.19559579360000001</v>
      </c>
      <c r="E64" s="36">
        <v>-6.5929531700000002E-2</v>
      </c>
      <c r="F64" s="6"/>
      <c r="G64" s="18"/>
      <c r="H64" s="35" t="s">
        <v>141</v>
      </c>
      <c r="J64" s="18"/>
      <c r="K64" s="34"/>
      <c r="M64" s="18"/>
      <c r="N64" s="18"/>
      <c r="O64" s="34"/>
      <c r="Y64" s="7"/>
    </row>
    <row r="65" spans="2:38" x14ac:dyDescent="0.25">
      <c r="B65" s="35">
        <v>18.5</v>
      </c>
      <c r="C65" s="123">
        <v>0</v>
      </c>
      <c r="D65" s="36">
        <v>0.19839869069999999</v>
      </c>
      <c r="E65" s="36">
        <v>-7.0221998699999996E-2</v>
      </c>
      <c r="G65" s="7"/>
      <c r="H65" s="35" t="s">
        <v>142</v>
      </c>
      <c r="J65" s="7"/>
      <c r="K65" s="7"/>
      <c r="L65" s="7"/>
      <c r="M65" s="7"/>
      <c r="N65" s="7"/>
      <c r="O65" s="7"/>
      <c r="P65" s="36"/>
      <c r="Q65" s="2"/>
      <c r="Z65" s="7"/>
    </row>
    <row r="66" spans="2:38" ht="12.75" customHeight="1" x14ac:dyDescent="0.25">
      <c r="B66" s="35">
        <v>18.75</v>
      </c>
      <c r="C66" s="123">
        <v>0</v>
      </c>
      <c r="D66" s="36">
        <v>0.20081731729999999</v>
      </c>
      <c r="E66" s="36">
        <v>-7.4281849999999996E-2</v>
      </c>
      <c r="H66" s="35" t="s">
        <v>138</v>
      </c>
      <c r="I66" s="7"/>
      <c r="P66" s="36"/>
      <c r="Z66" s="19"/>
    </row>
    <row r="67" spans="2:38" x14ac:dyDescent="0.25">
      <c r="B67" s="35">
        <v>19</v>
      </c>
      <c r="C67" s="123">
        <v>0</v>
      </c>
      <c r="D67" s="36">
        <v>0.20288104209999999</v>
      </c>
      <c r="E67" s="36">
        <v>-7.8078209699999998E-2</v>
      </c>
      <c r="H67" s="35" t="s">
        <v>143</v>
      </c>
      <c r="P67" s="36"/>
      <c r="Z67" s="19"/>
    </row>
    <row r="68" spans="2:38" ht="12.75" customHeight="1" x14ac:dyDescent="0.25">
      <c r="B68" s="35">
        <v>19.25</v>
      </c>
      <c r="C68" s="123">
        <v>0</v>
      </c>
      <c r="D68" s="36">
        <v>0.20461620389999999</v>
      </c>
      <c r="E68" s="36">
        <v>-8.1581808000000006E-2</v>
      </c>
      <c r="H68" s="35" t="s">
        <v>144</v>
      </c>
      <c r="K68" s="5"/>
      <c r="P68" s="36"/>
      <c r="Z68" s="19"/>
    </row>
    <row r="69" spans="2:38" ht="12.75" customHeight="1" x14ac:dyDescent="0.25">
      <c r="B69" s="35">
        <v>19.5</v>
      </c>
      <c r="C69" s="123">
        <v>0</v>
      </c>
      <c r="D69" s="36">
        <v>0.20604708760000001</v>
      </c>
      <c r="E69" s="36">
        <v>-8.47669432E-2</v>
      </c>
      <c r="H69" s="35" t="s">
        <v>145</v>
      </c>
      <c r="P69" s="36"/>
      <c r="Z69" s="19"/>
    </row>
    <row r="70" spans="2:38" x14ac:dyDescent="0.25">
      <c r="B70" s="35">
        <v>19.75</v>
      </c>
      <c r="C70" s="123">
        <v>0</v>
      </c>
      <c r="D70" s="36">
        <v>0.20719267150000001</v>
      </c>
      <c r="E70" s="36">
        <v>-8.7612100700000001E-2</v>
      </c>
      <c r="P70" s="36"/>
      <c r="Z70" s="19"/>
    </row>
    <row r="71" spans="2:38" x14ac:dyDescent="0.25">
      <c r="B71" s="35">
        <v>20</v>
      </c>
      <c r="C71" s="123">
        <v>0</v>
      </c>
      <c r="D71" s="36">
        <v>0.20806507260000001</v>
      </c>
      <c r="E71" s="36">
        <v>-9.0099623000000004E-2</v>
      </c>
      <c r="P71" s="36"/>
      <c r="Z71" s="19"/>
    </row>
    <row r="72" spans="2:38" x14ac:dyDescent="0.25">
      <c r="B72" s="35">
        <v>20.25</v>
      </c>
      <c r="C72" s="123">
        <v>0</v>
      </c>
      <c r="D72" s="36">
        <v>0.20867619809999999</v>
      </c>
      <c r="E72" s="36">
        <v>-9.22221716E-2</v>
      </c>
      <c r="P72" s="34"/>
      <c r="Z72" s="19"/>
    </row>
    <row r="73" spans="2:38" x14ac:dyDescent="0.25">
      <c r="B73" s="35">
        <v>20.5</v>
      </c>
      <c r="C73" s="123">
        <v>0</v>
      </c>
      <c r="D73" s="36">
        <v>0.20904090410000001</v>
      </c>
      <c r="E73" s="36">
        <v>-9.3992632800000003E-2</v>
      </c>
      <c r="K73" s="18"/>
      <c r="L73" s="34"/>
      <c r="N73" s="18"/>
      <c r="O73" s="18"/>
      <c r="P73" s="34"/>
      <c r="Z73" s="19"/>
    </row>
    <row r="74" spans="2:38" x14ac:dyDescent="0.25">
      <c r="B74" s="35">
        <v>20.75</v>
      </c>
      <c r="C74" s="123">
        <v>0</v>
      </c>
      <c r="D74" s="36">
        <v>0.2091786179</v>
      </c>
      <c r="E74" s="36">
        <v>-9.5426023499999998E-2</v>
      </c>
      <c r="K74" s="18"/>
      <c r="L74" s="34"/>
      <c r="N74" s="18"/>
      <c r="O74" s="18"/>
      <c r="P74" s="7"/>
      <c r="Z74" s="7"/>
    </row>
    <row r="75" spans="2:38" ht="13.2" x14ac:dyDescent="0.25">
      <c r="B75" s="35">
        <v>21</v>
      </c>
      <c r="C75" s="123">
        <v>0</v>
      </c>
      <c r="D75" s="36">
        <v>0.2091123164</v>
      </c>
      <c r="E75" s="36">
        <v>-9.6535874800000004E-2</v>
      </c>
      <c r="I75" s="34"/>
      <c r="J75" s="7"/>
      <c r="K75" s="7"/>
      <c r="L75" s="7"/>
      <c r="M75" s="7"/>
      <c r="N75" s="7"/>
      <c r="O75" s="7"/>
      <c r="P75" s="31"/>
      <c r="Q75" s="32"/>
      <c r="R75" s="32"/>
      <c r="S75" s="32"/>
      <c r="AB75" s="36"/>
      <c r="AC75" s="2"/>
      <c r="AL75" s="7"/>
    </row>
    <row r="76" spans="2:38" ht="13.2" x14ac:dyDescent="0.25">
      <c r="B76" s="35">
        <v>21.25</v>
      </c>
      <c r="C76" s="123">
        <v>0</v>
      </c>
      <c r="D76" s="36">
        <v>0.20886222430000001</v>
      </c>
      <c r="E76" s="36">
        <v>-9.7334146499999996E-2</v>
      </c>
      <c r="I76" s="34"/>
      <c r="J76" s="33"/>
      <c r="K76" s="33"/>
      <c r="L76" s="33"/>
      <c r="P76" s="31"/>
      <c r="Q76" s="32"/>
      <c r="R76" s="32"/>
      <c r="S76" s="32"/>
      <c r="AB76" s="36"/>
      <c r="AL76" s="19"/>
    </row>
    <row r="77" spans="2:38" ht="13.2" x14ac:dyDescent="0.25">
      <c r="B77" s="35">
        <v>21.5</v>
      </c>
      <c r="C77" s="123">
        <v>0</v>
      </c>
      <c r="D77" s="36">
        <v>0.2084422796</v>
      </c>
      <c r="E77" s="36">
        <v>-9.7836532000000004E-2</v>
      </c>
      <c r="I77" s="33"/>
      <c r="J77" s="33"/>
      <c r="K77" s="33"/>
      <c r="L77" s="33"/>
      <c r="P77" s="31"/>
      <c r="Q77" s="32"/>
      <c r="R77" s="32"/>
      <c r="S77" s="32"/>
      <c r="W77" s="5"/>
      <c r="AB77" s="36"/>
      <c r="AL77" s="19"/>
    </row>
    <row r="78" spans="2:38" ht="13.2" x14ac:dyDescent="0.25">
      <c r="B78" s="35">
        <v>21.75</v>
      </c>
      <c r="C78" s="123">
        <v>0</v>
      </c>
      <c r="D78" s="36">
        <v>0.20786581709999999</v>
      </c>
      <c r="E78" s="36">
        <v>-9.8058560500000003E-2</v>
      </c>
      <c r="I78" s="33"/>
      <c r="J78" s="33"/>
      <c r="K78" s="33"/>
      <c r="L78" s="33"/>
      <c r="AB78" s="36"/>
      <c r="AL78" s="19"/>
    </row>
    <row r="79" spans="2:38" ht="13.2" x14ac:dyDescent="0.25">
      <c r="B79" s="35">
        <v>22</v>
      </c>
      <c r="C79" s="123">
        <v>0</v>
      </c>
      <c r="D79" s="36">
        <v>0.20714563020000001</v>
      </c>
      <c r="E79" s="36">
        <v>-9.8014054599999997E-2</v>
      </c>
      <c r="I79" s="33"/>
      <c r="J79" s="33"/>
      <c r="K79" s="33"/>
      <c r="L79" s="33"/>
      <c r="AB79" s="36"/>
      <c r="AL79" s="19"/>
    </row>
    <row r="80" spans="2:38" ht="13.2" x14ac:dyDescent="0.25">
      <c r="B80" s="35">
        <v>22.25</v>
      </c>
      <c r="C80" s="123">
        <v>0</v>
      </c>
      <c r="D80" s="36">
        <v>0.20629090189999999</v>
      </c>
      <c r="E80" s="36">
        <v>-9.77173125E-2</v>
      </c>
      <c r="I80" s="33"/>
      <c r="J80" s="33"/>
      <c r="K80" s="33"/>
      <c r="L80" s="33"/>
      <c r="AB80" s="36"/>
      <c r="AL80" s="19"/>
    </row>
    <row r="81" spans="2:38" ht="13.2" x14ac:dyDescent="0.25">
      <c r="B81" s="35">
        <v>22.5</v>
      </c>
      <c r="C81" s="123">
        <v>0</v>
      </c>
      <c r="D81" s="36">
        <v>0.20530372599999999</v>
      </c>
      <c r="E81" s="36">
        <v>-9.7192743100000006E-2</v>
      </c>
      <c r="I81" s="33"/>
      <c r="L81" s="12"/>
      <c r="AB81" s="36"/>
      <c r="AL81" s="19"/>
    </row>
    <row r="82" spans="2:38" x14ac:dyDescent="0.25">
      <c r="B82" s="35">
        <v>22.75</v>
      </c>
      <c r="C82" s="123">
        <v>0</v>
      </c>
      <c r="D82" s="36">
        <v>0.20418993360000001</v>
      </c>
      <c r="E82" s="36">
        <v>-9.6463566099999995E-2</v>
      </c>
      <c r="L82" s="12"/>
      <c r="T82" s="18"/>
      <c r="W82" s="18"/>
      <c r="X82" s="34"/>
      <c r="Z82" s="18"/>
      <c r="AA82" s="18"/>
      <c r="AB82" s="34"/>
      <c r="AL82" s="19"/>
    </row>
    <row r="83" spans="2:38" x14ac:dyDescent="0.25">
      <c r="B83" s="35">
        <v>23</v>
      </c>
      <c r="C83" s="123">
        <v>0</v>
      </c>
      <c r="D83" s="36">
        <v>0.20295909249999999</v>
      </c>
      <c r="E83" s="36">
        <v>-9.5550456800000003E-2</v>
      </c>
      <c r="L83" s="12"/>
      <c r="T83" s="18"/>
      <c r="U83" s="34"/>
      <c r="W83" s="18"/>
      <c r="X83" s="34"/>
      <c r="Z83" s="18"/>
      <c r="AA83" s="18"/>
      <c r="AB83" s="34"/>
      <c r="AL83" s="19"/>
    </row>
    <row r="84" spans="2:38" x14ac:dyDescent="0.25">
      <c r="B84" s="35">
        <v>23.25</v>
      </c>
      <c r="C84" s="123">
        <v>0</v>
      </c>
      <c r="D84" s="36">
        <v>0.2016215881</v>
      </c>
      <c r="E84" s="36">
        <v>-9.4474429600000007E-2</v>
      </c>
      <c r="L84" s="12"/>
      <c r="T84" s="7"/>
      <c r="U84" s="34"/>
      <c r="V84" s="7"/>
      <c r="W84" s="7"/>
      <c r="X84" s="7"/>
      <c r="Y84" s="7"/>
      <c r="Z84" s="7"/>
      <c r="AA84" s="7"/>
      <c r="AB84" s="7"/>
      <c r="AL84" s="7"/>
    </row>
    <row r="85" spans="2:38" x14ac:dyDescent="0.25">
      <c r="B85" s="35">
        <v>23.5</v>
      </c>
      <c r="C85" s="123">
        <v>0</v>
      </c>
      <c r="D85" s="36">
        <v>0.20018424970000001</v>
      </c>
      <c r="E85" s="36">
        <v>-9.3262323600000002E-2</v>
      </c>
    </row>
    <row r="86" spans="2:38" x14ac:dyDescent="0.25">
      <c r="B86" s="35">
        <v>23.75</v>
      </c>
      <c r="C86" s="123">
        <v>0</v>
      </c>
      <c r="D86" s="36">
        <v>0.1986543862</v>
      </c>
      <c r="E86" s="36">
        <v>-9.1939553399999999E-2</v>
      </c>
    </row>
    <row r="87" spans="2:38" x14ac:dyDescent="0.25">
      <c r="B87" s="35">
        <v>24</v>
      </c>
      <c r="C87" s="123">
        <v>0</v>
      </c>
      <c r="D87" s="36">
        <v>0.19704192300000001</v>
      </c>
      <c r="E87" s="36">
        <v>-9.0528764299999995E-2</v>
      </c>
    </row>
    <row r="88" spans="2:38" x14ac:dyDescent="0.25">
      <c r="B88" s="35">
        <v>24.25</v>
      </c>
      <c r="C88" s="123">
        <v>0</v>
      </c>
      <c r="D88" s="36">
        <v>0.19535728429999999</v>
      </c>
      <c r="E88" s="36">
        <v>-8.9051598900000001E-2</v>
      </c>
    </row>
    <row r="89" spans="2:38" x14ac:dyDescent="0.25">
      <c r="B89" s="35">
        <v>24.5</v>
      </c>
      <c r="C89" s="123">
        <v>0</v>
      </c>
      <c r="D89" s="36">
        <v>0.19360712829999999</v>
      </c>
      <c r="E89" s="36">
        <v>-8.7527297899999995E-2</v>
      </c>
    </row>
    <row r="90" spans="2:38" x14ac:dyDescent="0.25">
      <c r="B90" s="35">
        <v>24.75</v>
      </c>
      <c r="C90" s="123">
        <v>0</v>
      </c>
      <c r="D90" s="36">
        <v>0.19179825149999999</v>
      </c>
      <c r="E90" s="36">
        <v>-8.5973044799999995E-2</v>
      </c>
    </row>
    <row r="91" spans="2:38" x14ac:dyDescent="0.25">
      <c r="B91" s="35">
        <v>25</v>
      </c>
      <c r="C91" s="123">
        <v>0</v>
      </c>
      <c r="D91" s="36">
        <v>0.189938684</v>
      </c>
      <c r="E91" s="36">
        <v>-8.4405594700000003E-2</v>
      </c>
    </row>
    <row r="92" spans="2:38" x14ac:dyDescent="0.25">
      <c r="B92" s="35">
        <v>25.25</v>
      </c>
      <c r="C92" s="123">
        <v>0</v>
      </c>
      <c r="D92" s="36">
        <v>0.18803641169999999</v>
      </c>
      <c r="E92" s="36">
        <v>-8.2840623099999997E-2</v>
      </c>
    </row>
    <row r="93" spans="2:38" x14ac:dyDescent="0.25">
      <c r="B93" s="35">
        <v>25.5</v>
      </c>
      <c r="C93" s="123">
        <v>0</v>
      </c>
      <c r="D93" s="36">
        <v>0.1860981169</v>
      </c>
      <c r="E93" s="36">
        <v>-8.12922752E-2</v>
      </c>
    </row>
    <row r="94" spans="2:38" x14ac:dyDescent="0.25">
      <c r="B94" s="35">
        <v>25.75</v>
      </c>
      <c r="C94" s="123">
        <v>0</v>
      </c>
      <c r="D94" s="36">
        <v>0.18412904529999999</v>
      </c>
      <c r="E94" s="36">
        <v>-7.9773395900000002E-2</v>
      </c>
      <c r="L94" s="12"/>
    </row>
    <row r="95" spans="2:38" x14ac:dyDescent="0.25">
      <c r="B95" s="35">
        <v>26</v>
      </c>
      <c r="C95" s="123">
        <v>0</v>
      </c>
      <c r="D95" s="36">
        <v>0.1821324805</v>
      </c>
      <c r="E95" s="36">
        <v>-7.8294173800000005E-2</v>
      </c>
      <c r="L95" s="12"/>
    </row>
    <row r="96" spans="2:38" x14ac:dyDescent="0.25">
      <c r="B96" s="35">
        <v>26.25</v>
      </c>
      <c r="C96" s="123">
        <v>0</v>
      </c>
      <c r="D96" s="36">
        <v>0.18011154269999999</v>
      </c>
      <c r="E96" s="36">
        <v>-7.6862492199999993E-2</v>
      </c>
      <c r="L96" s="12"/>
    </row>
    <row r="97" spans="2:5" x14ac:dyDescent="0.25">
      <c r="B97" s="35">
        <v>26.5</v>
      </c>
      <c r="C97" s="123">
        <v>0</v>
      </c>
      <c r="D97" s="36">
        <v>0.17806832040000001</v>
      </c>
      <c r="E97" s="36">
        <v>-7.5487161900000002E-2</v>
      </c>
    </row>
    <row r="98" spans="2:5" x14ac:dyDescent="0.25">
      <c r="B98" s="35">
        <v>26.75</v>
      </c>
      <c r="C98" s="123">
        <v>0</v>
      </c>
      <c r="D98" s="36">
        <v>0.1760061524</v>
      </c>
      <c r="E98" s="36">
        <v>-7.4175418500000007E-2</v>
      </c>
    </row>
    <row r="99" spans="2:5" x14ac:dyDescent="0.25">
      <c r="B99" s="35">
        <v>27</v>
      </c>
      <c r="C99" s="123">
        <v>0</v>
      </c>
      <c r="D99" s="36">
        <v>0.1739285226</v>
      </c>
      <c r="E99" s="36">
        <v>-7.2929489200000003E-2</v>
      </c>
    </row>
    <row r="100" spans="2:5" x14ac:dyDescent="0.25">
      <c r="B100" s="35">
        <v>27.25</v>
      </c>
      <c r="C100" s="123">
        <v>0</v>
      </c>
      <c r="D100" s="36">
        <v>0.17184046629999999</v>
      </c>
      <c r="E100" s="36">
        <v>-7.1749426899999996E-2</v>
      </c>
    </row>
    <row r="101" spans="2:5" x14ac:dyDescent="0.25">
      <c r="B101" s="35">
        <v>27.5</v>
      </c>
      <c r="C101" s="123">
        <v>0</v>
      </c>
      <c r="D101" s="36">
        <v>0.16974891480000001</v>
      </c>
      <c r="E101" s="36">
        <v>-7.0634880100000005E-2</v>
      </c>
    </row>
    <row r="102" spans="2:5" x14ac:dyDescent="0.25">
      <c r="B102" s="35">
        <v>27.75</v>
      </c>
      <c r="C102" s="123">
        <v>0</v>
      </c>
      <c r="D102" s="36">
        <v>0.16766029609999999</v>
      </c>
      <c r="E102" s="36">
        <v>-6.9584470900000001E-2</v>
      </c>
    </row>
    <row r="103" spans="2:5" x14ac:dyDescent="0.25">
      <c r="B103" s="35">
        <v>28</v>
      </c>
      <c r="C103" s="123">
        <v>0</v>
      </c>
      <c r="D103" s="36">
        <v>0.1655809617</v>
      </c>
      <c r="E103" s="36">
        <v>-6.8595750900000002E-2</v>
      </c>
    </row>
    <row r="104" spans="2:5" x14ac:dyDescent="0.25">
      <c r="B104" s="35">
        <v>28.25</v>
      </c>
      <c r="C104" s="123">
        <v>0</v>
      </c>
      <c r="D104" s="36">
        <v>0.16351625859999999</v>
      </c>
      <c r="E104" s="36">
        <v>-6.7666051099999999E-2</v>
      </c>
    </row>
    <row r="105" spans="2:5" x14ac:dyDescent="0.25">
      <c r="B105" s="35">
        <v>28.5</v>
      </c>
      <c r="C105" s="123">
        <v>0</v>
      </c>
      <c r="D105" s="36">
        <v>0.16146703009999999</v>
      </c>
      <c r="E105" s="36">
        <v>-6.6792224100000006E-2</v>
      </c>
    </row>
    <row r="106" spans="2:5" x14ac:dyDescent="0.25">
      <c r="B106" s="35">
        <v>28.75</v>
      </c>
      <c r="C106" s="123">
        <v>0</v>
      </c>
      <c r="D106" s="36">
        <v>0.15943321490000001</v>
      </c>
      <c r="E106" s="36">
        <v>-6.5971328499999995E-2</v>
      </c>
    </row>
    <row r="107" spans="2:5" x14ac:dyDescent="0.25">
      <c r="B107" s="35">
        <v>29</v>
      </c>
      <c r="C107" s="123">
        <v>0</v>
      </c>
      <c r="D107" s="36">
        <v>0.15741469020000001</v>
      </c>
      <c r="E107" s="36">
        <v>-6.5199403899999994E-2</v>
      </c>
    </row>
    <row r="108" spans="2:5" x14ac:dyDescent="0.25">
      <c r="B108" s="35">
        <v>29.25</v>
      </c>
      <c r="C108" s="123">
        <v>0</v>
      </c>
      <c r="D108" s="36">
        <v>0.15541104350000001</v>
      </c>
      <c r="E108" s="36">
        <v>-6.4471369799999997E-2</v>
      </c>
    </row>
    <row r="109" spans="2:5" x14ac:dyDescent="0.25">
      <c r="B109" s="35">
        <v>29.5</v>
      </c>
      <c r="C109" s="123">
        <v>0</v>
      </c>
      <c r="D109" s="36">
        <v>0.15341945269999999</v>
      </c>
      <c r="E109" s="36">
        <v>-6.3782847000000004E-2</v>
      </c>
    </row>
    <row r="110" spans="2:5" x14ac:dyDescent="0.25">
      <c r="B110" s="35">
        <v>29.75</v>
      </c>
      <c r="C110" s="123">
        <v>0</v>
      </c>
      <c r="D110" s="36">
        <v>0.1514377881</v>
      </c>
      <c r="E110" s="36">
        <v>-6.3129673799999994E-2</v>
      </c>
    </row>
    <row r="111" spans="2:5" x14ac:dyDescent="0.25">
      <c r="B111" s="35">
        <v>30</v>
      </c>
      <c r="C111" s="123">
        <v>0</v>
      </c>
      <c r="D111" s="36">
        <v>0.14946487280000001</v>
      </c>
      <c r="E111" s="36">
        <v>-6.2507945300000006E-2</v>
      </c>
    </row>
    <row r="112" spans="2:5" x14ac:dyDescent="0.25">
      <c r="B112" s="35">
        <v>30.25</v>
      </c>
      <c r="C112" s="123">
        <v>0</v>
      </c>
      <c r="D112" s="36">
        <v>0.14750029349999999</v>
      </c>
      <c r="E112" s="36">
        <v>-6.19139405E-2</v>
      </c>
    </row>
    <row r="113" spans="2:5" x14ac:dyDescent="0.25">
      <c r="B113" s="35">
        <v>30.5</v>
      </c>
      <c r="C113" s="123">
        <v>0</v>
      </c>
      <c r="D113" s="36">
        <v>0.14554402899999999</v>
      </c>
      <c r="E113" s="36">
        <v>-6.1345296600000002E-2</v>
      </c>
    </row>
    <row r="114" spans="2:5" x14ac:dyDescent="0.25">
      <c r="B114" s="35">
        <v>30.75</v>
      </c>
      <c r="C114" s="123">
        <v>0</v>
      </c>
      <c r="D114" s="36">
        <v>0.14359623520000001</v>
      </c>
      <c r="E114" s="36">
        <v>-6.0801028100000001E-2</v>
      </c>
    </row>
    <row r="115" spans="2:5" x14ac:dyDescent="0.25">
      <c r="B115" s="35">
        <v>31</v>
      </c>
      <c r="C115" s="123">
        <v>0</v>
      </c>
      <c r="D115" s="36">
        <v>0.14165725009999999</v>
      </c>
      <c r="E115" s="36">
        <v>-6.0280963E-2</v>
      </c>
    </row>
    <row r="116" spans="2:5" x14ac:dyDescent="0.25">
      <c r="B116" s="35">
        <v>31.25</v>
      </c>
      <c r="C116" s="123">
        <v>0</v>
      </c>
      <c r="D116" s="36">
        <v>0.13972744519999999</v>
      </c>
      <c r="E116" s="36">
        <v>-5.9785954299999999E-2</v>
      </c>
    </row>
    <row r="117" spans="2:5" x14ac:dyDescent="0.25">
      <c r="B117" s="35">
        <v>31.5</v>
      </c>
      <c r="C117" s="123">
        <v>0</v>
      </c>
      <c r="D117" s="36">
        <v>0.1378066345</v>
      </c>
      <c r="E117" s="36">
        <v>-5.9317916999999998E-2</v>
      </c>
    </row>
    <row r="118" spans="2:5" x14ac:dyDescent="0.25">
      <c r="B118" s="35">
        <v>31.75</v>
      </c>
      <c r="C118" s="123">
        <v>0</v>
      </c>
      <c r="D118" s="36">
        <v>0.1358942799</v>
      </c>
      <c r="E118" s="36">
        <v>-5.8879186399999998E-2</v>
      </c>
    </row>
    <row r="119" spans="2:5" x14ac:dyDescent="0.25">
      <c r="B119" s="35">
        <v>32</v>
      </c>
      <c r="C119" s="123">
        <v>0</v>
      </c>
      <c r="D119" s="36">
        <v>0.13399033490000001</v>
      </c>
      <c r="E119" s="36">
        <v>-5.8472012599999998E-2</v>
      </c>
    </row>
    <row r="120" spans="2:5" x14ac:dyDescent="0.25">
      <c r="B120" s="35">
        <v>32.25</v>
      </c>
      <c r="C120" s="123">
        <v>0</v>
      </c>
      <c r="D120" s="36">
        <v>0.13209534889999999</v>
      </c>
      <c r="E120" s="36">
        <v>-5.8098148299999999E-2</v>
      </c>
    </row>
    <row r="121" spans="2:5" ht="11.25" customHeight="1" x14ac:dyDescent="0.25">
      <c r="B121" s="35">
        <v>32.5</v>
      </c>
      <c r="C121" s="123">
        <v>0</v>
      </c>
      <c r="D121" s="36">
        <v>0.1302093369</v>
      </c>
      <c r="E121" s="36">
        <v>-5.7759671899999997E-2</v>
      </c>
    </row>
    <row r="122" spans="2:5" x14ac:dyDescent="0.25">
      <c r="B122" s="35">
        <v>32.75</v>
      </c>
      <c r="C122" s="123">
        <v>0</v>
      </c>
      <c r="D122" s="36">
        <v>0.12833193770000001</v>
      </c>
      <c r="E122" s="36">
        <v>-5.7459303199999999E-2</v>
      </c>
    </row>
    <row r="123" spans="2:5" x14ac:dyDescent="0.25">
      <c r="B123" s="35">
        <v>33</v>
      </c>
      <c r="C123" s="123">
        <v>0</v>
      </c>
      <c r="D123" s="36">
        <v>0.12646264569999999</v>
      </c>
      <c r="E123" s="36">
        <v>-5.7200026100000002E-2</v>
      </c>
    </row>
    <row r="124" spans="2:5" x14ac:dyDescent="0.25">
      <c r="B124" s="35">
        <v>33.25</v>
      </c>
      <c r="C124" s="123">
        <v>0</v>
      </c>
      <c r="D124" s="36">
        <v>0.1246003997</v>
      </c>
      <c r="E124" s="36">
        <v>-5.6984837500000003E-2</v>
      </c>
    </row>
    <row r="125" spans="2:5" x14ac:dyDescent="0.25">
      <c r="B125" s="35">
        <v>33.5</v>
      </c>
      <c r="C125" s="123">
        <v>0</v>
      </c>
      <c r="D125" s="36">
        <v>0.1227431651</v>
      </c>
      <c r="E125" s="36">
        <v>-5.6816528900000003E-2</v>
      </c>
    </row>
    <row r="126" spans="2:5" x14ac:dyDescent="0.25">
      <c r="B126" s="35">
        <v>33.75</v>
      </c>
      <c r="C126" s="123">
        <v>0</v>
      </c>
      <c r="D126" s="36">
        <v>0.1208889011</v>
      </c>
      <c r="E126" s="36">
        <v>-5.6696975300000001E-2</v>
      </c>
    </row>
    <row r="127" spans="2:5" x14ac:dyDescent="0.25">
      <c r="B127" s="35">
        <v>34</v>
      </c>
      <c r="C127" s="123">
        <v>0</v>
      </c>
      <c r="D127" s="36">
        <v>0.11903553930000001</v>
      </c>
      <c r="E127" s="36">
        <v>-5.6627090099999999E-2</v>
      </c>
    </row>
    <row r="128" spans="2:5" x14ac:dyDescent="0.25">
      <c r="B128" s="35">
        <v>34.25</v>
      </c>
      <c r="C128" s="123">
        <v>0</v>
      </c>
      <c r="D128" s="36">
        <v>0.1171810586</v>
      </c>
      <c r="E128" s="36">
        <v>-5.6605889299999997E-2</v>
      </c>
    </row>
    <row r="129" spans="2:5" x14ac:dyDescent="0.25">
      <c r="B129" s="35">
        <v>34.5</v>
      </c>
      <c r="C129" s="123">
        <v>0</v>
      </c>
      <c r="D129" s="36">
        <v>0.11532325609999999</v>
      </c>
      <c r="E129" s="36">
        <v>-5.6630586400000002E-2</v>
      </c>
    </row>
    <row r="130" spans="2:5" x14ac:dyDescent="0.25">
      <c r="B130" s="35">
        <v>34.75</v>
      </c>
      <c r="C130" s="123">
        <v>0</v>
      </c>
      <c r="D130" s="36">
        <v>0.11346014259999999</v>
      </c>
      <c r="E130" s="36">
        <v>-5.6697295000000002E-2</v>
      </c>
    </row>
    <row r="131" spans="2:5" x14ac:dyDescent="0.25">
      <c r="B131" s="35">
        <v>35</v>
      </c>
      <c r="C131" s="123">
        <v>0</v>
      </c>
      <c r="D131" s="36">
        <v>0.1115898681</v>
      </c>
      <c r="E131" s="36">
        <v>-5.6802090700000002E-2</v>
      </c>
    </row>
    <row r="132" spans="2:5" x14ac:dyDescent="0.25">
      <c r="B132" s="35">
        <v>35.25</v>
      </c>
      <c r="C132" s="123">
        <v>0</v>
      </c>
      <c r="D132" s="36">
        <v>0.1097107301</v>
      </c>
      <c r="E132" s="36">
        <v>-5.6941064700000002E-2</v>
      </c>
    </row>
    <row r="133" spans="2:5" x14ac:dyDescent="0.25">
      <c r="B133" s="35">
        <v>35.5</v>
      </c>
      <c r="C133" s="123">
        <v>0</v>
      </c>
      <c r="D133" s="36">
        <v>0.1078210129</v>
      </c>
      <c r="E133" s="36">
        <v>-5.71087989E-2</v>
      </c>
    </row>
    <row r="134" spans="2:5" x14ac:dyDescent="0.25">
      <c r="B134" s="35">
        <v>35.75</v>
      </c>
      <c r="C134" s="123">
        <v>0</v>
      </c>
      <c r="D134" s="36">
        <v>0.1059195621</v>
      </c>
      <c r="E134" s="36">
        <v>-5.7299484300000002E-2</v>
      </c>
    </row>
    <row r="135" spans="2:5" x14ac:dyDescent="0.25">
      <c r="B135" s="35">
        <v>36</v>
      </c>
      <c r="C135" s="123">
        <v>0</v>
      </c>
      <c r="D135" s="36">
        <v>0.1040063042</v>
      </c>
      <c r="E135" s="36">
        <v>-5.7506860999999999E-2</v>
      </c>
    </row>
    <row r="136" spans="2:5" x14ac:dyDescent="0.25">
      <c r="B136" s="35">
        <v>36.25</v>
      </c>
      <c r="C136" s="123">
        <v>0</v>
      </c>
      <c r="D136" s="36">
        <v>0.10208143240000001</v>
      </c>
      <c r="E136" s="36">
        <v>-5.77247486E-2</v>
      </c>
    </row>
    <row r="137" spans="2:5" x14ac:dyDescent="0.25">
      <c r="B137" s="35">
        <v>36.5</v>
      </c>
      <c r="C137" s="123">
        <v>0</v>
      </c>
      <c r="D137" s="36">
        <v>0.1001452384</v>
      </c>
      <c r="E137" s="36">
        <v>-5.79475931E-2</v>
      </c>
    </row>
    <row r="138" spans="2:5" x14ac:dyDescent="0.25">
      <c r="B138" s="35">
        <v>36.75</v>
      </c>
      <c r="C138" s="123">
        <v>0</v>
      </c>
      <c r="D138" s="36">
        <v>9.8198221899999993E-2</v>
      </c>
      <c r="E138" s="36">
        <v>-5.8170416799999999E-2</v>
      </c>
    </row>
    <row r="139" spans="2:5" x14ac:dyDescent="0.25">
      <c r="B139" s="35">
        <v>37</v>
      </c>
      <c r="C139" s="123">
        <v>0</v>
      </c>
      <c r="D139" s="36">
        <v>9.62413352E-2</v>
      </c>
      <c r="E139" s="36">
        <v>-5.8387923699999997E-2</v>
      </c>
    </row>
    <row r="140" spans="2:5" x14ac:dyDescent="0.25">
      <c r="B140" s="35">
        <v>37.25</v>
      </c>
      <c r="C140" s="123">
        <v>0</v>
      </c>
      <c r="D140" s="36">
        <v>9.4275468000000001E-2</v>
      </c>
      <c r="E140" s="36">
        <v>-5.8595302699999997E-2</v>
      </c>
    </row>
    <row r="141" spans="2:5" x14ac:dyDescent="0.25">
      <c r="B141" s="35">
        <v>37.5</v>
      </c>
      <c r="C141" s="123">
        <v>0</v>
      </c>
      <c r="D141" s="36">
        <v>9.23007946E-2</v>
      </c>
      <c r="E141" s="36">
        <v>-5.8789689999999999E-2</v>
      </c>
    </row>
    <row r="142" spans="2:5" x14ac:dyDescent="0.25">
      <c r="B142" s="35">
        <v>37.75</v>
      </c>
      <c r="C142" s="123">
        <v>0</v>
      </c>
      <c r="D142" s="36">
        <v>9.0317493900000004E-2</v>
      </c>
      <c r="E142" s="36">
        <v>-5.89687349E-2</v>
      </c>
    </row>
    <row r="143" spans="2:5" x14ac:dyDescent="0.25">
      <c r="B143" s="35">
        <v>38</v>
      </c>
      <c r="C143" s="123">
        <v>0</v>
      </c>
      <c r="D143" s="36">
        <v>8.8326118199999998E-2</v>
      </c>
      <c r="E143" s="36">
        <v>-5.9130223500000002E-2</v>
      </c>
    </row>
    <row r="144" spans="2:5" x14ac:dyDescent="0.25">
      <c r="B144" s="35">
        <v>38.25</v>
      </c>
      <c r="C144" s="123">
        <v>0</v>
      </c>
      <c r="D144" s="36">
        <v>8.6326867400000007E-2</v>
      </c>
      <c r="E144" s="36">
        <v>-5.9272332499999997E-2</v>
      </c>
    </row>
    <row r="145" spans="2:5" x14ac:dyDescent="0.25">
      <c r="B145" s="35">
        <v>38.5</v>
      </c>
      <c r="C145" s="123">
        <v>0</v>
      </c>
      <c r="D145" s="36">
        <v>8.4319487100000007E-2</v>
      </c>
      <c r="E145" s="36">
        <v>-5.9393934699999998E-2</v>
      </c>
    </row>
    <row r="146" spans="2:5" x14ac:dyDescent="0.25">
      <c r="B146" s="35">
        <v>38.75</v>
      </c>
      <c r="C146" s="123">
        <v>0</v>
      </c>
      <c r="D146" s="36">
        <v>8.2303930100000006E-2</v>
      </c>
      <c r="E146" s="36">
        <v>-5.9493959899999997E-2</v>
      </c>
    </row>
    <row r="147" spans="2:5" x14ac:dyDescent="0.25">
      <c r="B147" s="35">
        <v>39</v>
      </c>
      <c r="C147" s="123">
        <v>0</v>
      </c>
      <c r="D147" s="36">
        <v>8.0280154699999995E-2</v>
      </c>
      <c r="E147" s="36">
        <v>-5.95716092E-2</v>
      </c>
    </row>
    <row r="148" spans="2:5" x14ac:dyDescent="0.25">
      <c r="B148" s="35">
        <v>39.25</v>
      </c>
      <c r="C148" s="123">
        <v>0</v>
      </c>
      <c r="D148" s="36">
        <v>7.8248001400000003E-2</v>
      </c>
      <c r="E148" s="36">
        <v>-5.9626288499999999E-2</v>
      </c>
    </row>
    <row r="149" spans="2:5" x14ac:dyDescent="0.25">
      <c r="B149" s="35">
        <v>39.5</v>
      </c>
      <c r="C149" s="123">
        <v>0</v>
      </c>
      <c r="D149" s="36">
        <v>7.6207177000000001E-2</v>
      </c>
      <c r="E149" s="36">
        <v>-5.96576547E-2</v>
      </c>
    </row>
    <row r="150" spans="2:5" x14ac:dyDescent="0.25">
      <c r="B150" s="35">
        <v>39.75</v>
      </c>
      <c r="C150" s="123">
        <v>0</v>
      </c>
      <c r="D150" s="36">
        <v>7.4157340200000005E-2</v>
      </c>
      <c r="E150" s="36">
        <v>-5.9665595799999999E-2</v>
      </c>
    </row>
    <row r="151" spans="2:5" x14ac:dyDescent="0.25">
      <c r="B151" s="35">
        <v>40</v>
      </c>
      <c r="C151" s="123">
        <v>0</v>
      </c>
      <c r="D151" s="36">
        <v>7.2098326000000004E-2</v>
      </c>
      <c r="E151" s="36">
        <v>-5.9649996199999999E-2</v>
      </c>
    </row>
    <row r="152" spans="2:5" x14ac:dyDescent="0.25">
      <c r="B152" s="35">
        <v>40.25</v>
      </c>
      <c r="C152" s="123">
        <v>0</v>
      </c>
      <c r="D152" s="36">
        <v>7.0030161600000002E-2</v>
      </c>
      <c r="E152" s="36">
        <v>-5.9610738900000002E-2</v>
      </c>
    </row>
    <row r="153" spans="2:5" x14ac:dyDescent="0.25">
      <c r="B153" s="35">
        <v>40.5</v>
      </c>
      <c r="C153" s="123">
        <v>0</v>
      </c>
      <c r="D153" s="36">
        <v>6.7952967099999997E-2</v>
      </c>
      <c r="E153" s="36">
        <v>-5.9547259399999997E-2</v>
      </c>
    </row>
    <row r="154" spans="2:5" x14ac:dyDescent="0.25">
      <c r="B154" s="35">
        <v>40.75</v>
      </c>
      <c r="C154" s="123">
        <v>0</v>
      </c>
      <c r="D154" s="36">
        <v>6.58675804E-2</v>
      </c>
      <c r="E154" s="36">
        <v>-5.9457827800000002E-2</v>
      </c>
    </row>
    <row r="155" spans="2:5" x14ac:dyDescent="0.25">
      <c r="B155" s="35">
        <v>41</v>
      </c>
      <c r="C155" s="123">
        <v>0</v>
      </c>
      <c r="D155" s="36">
        <v>6.3775317499999998E-2</v>
      </c>
      <c r="E155" s="36">
        <v>-5.9340176500000001E-2</v>
      </c>
    </row>
    <row r="156" spans="2:5" x14ac:dyDescent="0.25">
      <c r="B156" s="35">
        <v>41.25</v>
      </c>
      <c r="C156" s="123">
        <v>0</v>
      </c>
      <c r="D156" s="36">
        <v>6.16775133E-2</v>
      </c>
      <c r="E156" s="36">
        <v>-5.9191640699999999E-2</v>
      </c>
    </row>
    <row r="157" spans="2:5" x14ac:dyDescent="0.25">
      <c r="B157" s="35">
        <v>41.5</v>
      </c>
      <c r="C157" s="123">
        <v>0</v>
      </c>
      <c r="D157" s="36">
        <v>5.9575559799999997E-2</v>
      </c>
      <c r="E157" s="36">
        <v>-5.9009067599999999E-2</v>
      </c>
    </row>
    <row r="158" spans="2:5" x14ac:dyDescent="0.25">
      <c r="B158" s="35">
        <v>41.75</v>
      </c>
      <c r="C158" s="123">
        <v>0</v>
      </c>
      <c r="D158" s="36">
        <v>5.7470614900000001E-2</v>
      </c>
      <c r="E158" s="36">
        <v>-5.87892317E-2</v>
      </c>
    </row>
    <row r="159" spans="2:5" x14ac:dyDescent="0.25">
      <c r="B159" s="35">
        <v>42</v>
      </c>
      <c r="C159" s="123">
        <v>0</v>
      </c>
      <c r="D159" s="36">
        <v>5.5363805000000002E-2</v>
      </c>
      <c r="E159" s="36">
        <v>-5.8529044000000002E-2</v>
      </c>
    </row>
    <row r="160" spans="2:5" x14ac:dyDescent="0.25">
      <c r="B160" s="35">
        <v>42.25</v>
      </c>
      <c r="C160" s="123">
        <v>0</v>
      </c>
      <c r="D160" s="36">
        <v>5.32562434E-2</v>
      </c>
      <c r="E160" s="36">
        <v>-5.8225993699999999E-2</v>
      </c>
    </row>
    <row r="161" spans="2:5" x14ac:dyDescent="0.25">
      <c r="B161" s="35">
        <v>42.5</v>
      </c>
      <c r="C161" s="123">
        <v>0</v>
      </c>
      <c r="D161" s="36">
        <v>5.1149025600000002E-2</v>
      </c>
      <c r="E161" s="36">
        <v>-5.7878405899999999E-2</v>
      </c>
    </row>
    <row r="162" spans="2:5" x14ac:dyDescent="0.25">
      <c r="B162" s="35">
        <v>42.75</v>
      </c>
      <c r="C162" s="123">
        <v>0</v>
      </c>
      <c r="D162" s="36">
        <v>4.9043098700000003E-2</v>
      </c>
      <c r="E162" s="36">
        <v>-5.7484605299999998E-2</v>
      </c>
    </row>
    <row r="163" spans="2:5" x14ac:dyDescent="0.25">
      <c r="B163" s="35">
        <v>43</v>
      </c>
      <c r="C163" s="123">
        <v>0</v>
      </c>
      <c r="D163" s="36">
        <v>4.6939346600000001E-2</v>
      </c>
      <c r="E163" s="36">
        <v>-5.7042738900000001E-2</v>
      </c>
    </row>
    <row r="164" spans="2:5" x14ac:dyDescent="0.25">
      <c r="B164" s="35">
        <v>43.25</v>
      </c>
      <c r="C164" s="123">
        <v>0</v>
      </c>
      <c r="D164" s="36">
        <v>4.4838444499999998E-2</v>
      </c>
      <c r="E164" s="36">
        <v>-5.6551228799999999E-2</v>
      </c>
    </row>
    <row r="165" spans="2:5" x14ac:dyDescent="0.25">
      <c r="B165" s="35">
        <v>43.5</v>
      </c>
      <c r="C165" s="123">
        <v>0</v>
      </c>
      <c r="D165" s="36">
        <v>4.2740603000000002E-2</v>
      </c>
      <c r="E165" s="36">
        <v>-5.6010176000000002E-2</v>
      </c>
    </row>
    <row r="166" spans="2:5" x14ac:dyDescent="0.25">
      <c r="B166" s="35">
        <v>43.75</v>
      </c>
      <c r="C166" s="123">
        <v>0</v>
      </c>
      <c r="D166" s="36">
        <v>4.06459968E-2</v>
      </c>
      <c r="E166" s="36">
        <v>-5.5419919800000002E-2</v>
      </c>
    </row>
    <row r="167" spans="2:5" x14ac:dyDescent="0.25">
      <c r="B167" s="35">
        <v>44</v>
      </c>
      <c r="C167" s="123">
        <v>0</v>
      </c>
      <c r="D167" s="36">
        <v>3.8554834599999997E-2</v>
      </c>
      <c r="E167" s="36">
        <v>-5.4780671099999997E-2</v>
      </c>
    </row>
    <row r="168" spans="2:5" x14ac:dyDescent="0.25">
      <c r="B168" s="35">
        <v>44.25</v>
      </c>
      <c r="C168" s="123">
        <v>0</v>
      </c>
      <c r="D168" s="36">
        <v>3.6467147900000003E-2</v>
      </c>
      <c r="E168" s="36">
        <v>-5.4092400200000001E-2</v>
      </c>
    </row>
    <row r="169" spans="2:5" x14ac:dyDescent="0.25">
      <c r="B169" s="35">
        <v>44.5</v>
      </c>
      <c r="C169" s="123">
        <v>0</v>
      </c>
      <c r="D169" s="36">
        <v>3.4382486400000002E-2</v>
      </c>
      <c r="E169" s="36">
        <v>-5.3354161300000001E-2</v>
      </c>
    </row>
    <row r="170" spans="2:5" x14ac:dyDescent="0.25">
      <c r="B170" s="35">
        <v>44.75</v>
      </c>
      <c r="C170" s="123">
        <v>0</v>
      </c>
      <c r="D170" s="36">
        <v>3.2300302500000003E-2</v>
      </c>
      <c r="E170" s="36">
        <v>-5.2564824699999999E-2</v>
      </c>
    </row>
    <row r="171" spans="2:5" x14ac:dyDescent="0.25">
      <c r="B171" s="35">
        <v>45</v>
      </c>
      <c r="C171" s="123">
        <v>0</v>
      </c>
      <c r="D171" s="36">
        <v>3.0219993300000001E-2</v>
      </c>
      <c r="E171" s="36">
        <v>-5.1723338899999999E-2</v>
      </c>
    </row>
    <row r="172" spans="2:5" x14ac:dyDescent="0.25">
      <c r="B172" s="35">
        <v>45.25</v>
      </c>
      <c r="C172" s="123">
        <v>0</v>
      </c>
      <c r="D172" s="36">
        <v>2.81407163E-2</v>
      </c>
      <c r="E172" s="36">
        <v>-5.0828822000000003E-2</v>
      </c>
    </row>
    <row r="173" spans="2:5" x14ac:dyDescent="0.25">
      <c r="B173" s="35">
        <v>45.5</v>
      </c>
      <c r="C173" s="123">
        <v>0</v>
      </c>
      <c r="D173" s="36">
        <v>2.6061245399999999E-2</v>
      </c>
      <c r="E173" s="36">
        <v>-4.9880807999999999E-2</v>
      </c>
    </row>
    <row r="174" spans="2:5" x14ac:dyDescent="0.25">
      <c r="B174" s="35">
        <v>45.75</v>
      </c>
      <c r="C174" s="123">
        <v>0</v>
      </c>
      <c r="D174" s="36">
        <v>2.3980140300000001E-2</v>
      </c>
      <c r="E174" s="36">
        <v>-4.8878962300000002E-2</v>
      </c>
    </row>
    <row r="175" spans="2:5" x14ac:dyDescent="0.25">
      <c r="B175" s="35">
        <v>46</v>
      </c>
      <c r="C175" s="123">
        <v>0</v>
      </c>
      <c r="D175" s="36">
        <v>2.1896023399999999E-2</v>
      </c>
      <c r="E175" s="36">
        <v>-4.7822659699999999E-2</v>
      </c>
    </row>
    <row r="176" spans="2:5" x14ac:dyDescent="0.25">
      <c r="B176" s="35">
        <v>46.25</v>
      </c>
      <c r="C176" s="123">
        <v>0</v>
      </c>
      <c r="D176" s="36">
        <v>1.98078925E-2</v>
      </c>
      <c r="E176" s="36">
        <v>-4.6711319799999998E-2</v>
      </c>
    </row>
    <row r="177" spans="2:5" x14ac:dyDescent="0.25">
      <c r="B177" s="35">
        <v>46.5</v>
      </c>
      <c r="C177" s="123">
        <v>0</v>
      </c>
      <c r="D177" s="36">
        <v>1.7714885999999999E-2</v>
      </c>
      <c r="E177" s="36">
        <v>-4.5545567299999999E-2</v>
      </c>
    </row>
    <row r="178" spans="2:5" x14ac:dyDescent="0.25">
      <c r="B178" s="35">
        <v>46.75</v>
      </c>
      <c r="C178" s="123">
        <v>0</v>
      </c>
      <c r="D178" s="36">
        <v>1.56163378E-2</v>
      </c>
      <c r="E178" s="36">
        <v>-4.4326082500000002E-2</v>
      </c>
    </row>
    <row r="179" spans="2:5" x14ac:dyDescent="0.25">
      <c r="B179" s="35">
        <v>47</v>
      </c>
      <c r="C179" s="123">
        <v>0</v>
      </c>
      <c r="D179" s="36">
        <v>1.3511685000000001E-2</v>
      </c>
      <c r="E179" s="36">
        <v>-4.3053458599999997E-2</v>
      </c>
    </row>
    <row r="180" spans="2:5" x14ac:dyDescent="0.25">
      <c r="B180" s="35">
        <v>47.25</v>
      </c>
      <c r="C180" s="123">
        <v>0</v>
      </c>
      <c r="D180" s="36">
        <v>1.14002685E-2</v>
      </c>
      <c r="E180" s="36">
        <v>-4.1728283499999998E-2</v>
      </c>
    </row>
    <row r="181" spans="2:5" x14ac:dyDescent="0.25">
      <c r="B181" s="35">
        <v>47.5</v>
      </c>
      <c r="C181" s="123">
        <v>0</v>
      </c>
      <c r="D181" s="36">
        <v>9.2811518999999995E-3</v>
      </c>
      <c r="E181" s="36">
        <v>-4.0351701199999999E-2</v>
      </c>
    </row>
    <row r="182" spans="2:5" x14ac:dyDescent="0.25">
      <c r="B182" s="35">
        <v>47.75</v>
      </c>
      <c r="C182" s="123">
        <v>0</v>
      </c>
      <c r="D182" s="36">
        <v>7.1534907E-3</v>
      </c>
      <c r="E182" s="36">
        <v>-3.8924980400000003E-2</v>
      </c>
    </row>
    <row r="183" spans="2:5" x14ac:dyDescent="0.25">
      <c r="B183" s="35">
        <v>48</v>
      </c>
      <c r="C183" s="123">
        <v>0</v>
      </c>
      <c r="D183" s="36">
        <v>5.0165364000000004E-3</v>
      </c>
      <c r="E183" s="36">
        <v>-3.7449313900000003E-2</v>
      </c>
    </row>
    <row r="184" spans="2:5" x14ac:dyDescent="0.25">
      <c r="B184" s="35">
        <v>48.25</v>
      </c>
      <c r="C184" s="123">
        <v>0</v>
      </c>
      <c r="D184" s="36">
        <v>2.8695871999999999E-3</v>
      </c>
      <c r="E184" s="36">
        <v>-3.5925651699999998E-2</v>
      </c>
    </row>
    <row r="185" spans="2:5" x14ac:dyDescent="0.25">
      <c r="B185" s="35">
        <v>48.5</v>
      </c>
      <c r="C185" s="123">
        <v>0</v>
      </c>
      <c r="D185" s="36">
        <v>7.1174149999999995E-4</v>
      </c>
      <c r="E185" s="36">
        <v>-3.4355142200000001E-2</v>
      </c>
    </row>
    <row r="186" spans="2:5" x14ac:dyDescent="0.25">
      <c r="B186" s="35">
        <v>48.75</v>
      </c>
      <c r="C186" s="123">
        <v>0</v>
      </c>
      <c r="D186" s="36">
        <v>-1.4578340000000001E-3</v>
      </c>
      <c r="E186" s="36">
        <v>-3.2739068099999998E-2</v>
      </c>
    </row>
    <row r="187" spans="2:5" x14ac:dyDescent="0.25">
      <c r="B187" s="35">
        <v>49</v>
      </c>
      <c r="C187" s="123">
        <v>0</v>
      </c>
      <c r="D187" s="36">
        <v>-3.6398074999999998E-3</v>
      </c>
      <c r="E187" s="36">
        <v>-3.1078694899999999E-2</v>
      </c>
    </row>
    <row r="188" spans="2:5" x14ac:dyDescent="0.25">
      <c r="B188" s="35">
        <v>49.25</v>
      </c>
      <c r="C188" s="123">
        <v>0</v>
      </c>
      <c r="D188" s="36">
        <v>-5.8347449999999997E-3</v>
      </c>
      <c r="E188" s="36">
        <v>-2.9375332099999998E-2</v>
      </c>
    </row>
    <row r="189" spans="2:5" x14ac:dyDescent="0.25">
      <c r="B189" s="35">
        <v>49.5</v>
      </c>
      <c r="C189" s="123">
        <v>0</v>
      </c>
      <c r="D189" s="36">
        <v>-8.0428922999999999E-3</v>
      </c>
      <c r="E189" s="36">
        <v>-2.7630602399999999E-2</v>
      </c>
    </row>
    <row r="190" spans="2:5" x14ac:dyDescent="0.25">
      <c r="B190" s="35">
        <v>49.75</v>
      </c>
      <c r="C190" s="123">
        <v>0</v>
      </c>
      <c r="D190" s="36">
        <v>-1.0264418399999999E-2</v>
      </c>
      <c r="E190" s="36">
        <v>-2.5846100899999998E-2</v>
      </c>
    </row>
    <row r="191" spans="2:5" x14ac:dyDescent="0.25">
      <c r="B191" s="35">
        <v>50</v>
      </c>
      <c r="C191" s="123">
        <v>0</v>
      </c>
      <c r="D191" s="36">
        <v>-1.24994715E-2</v>
      </c>
      <c r="E191" s="36">
        <v>-2.4023245299999999E-2</v>
      </c>
    </row>
    <row r="192" spans="2:5" x14ac:dyDescent="0.25">
      <c r="B192" s="35">
        <v>50.25</v>
      </c>
      <c r="C192" s="123">
        <v>0</v>
      </c>
      <c r="D192" s="36">
        <v>-1.47479598E-2</v>
      </c>
      <c r="E192" s="36">
        <v>-2.2163376700000001E-2</v>
      </c>
    </row>
    <row r="193" spans="2:5" x14ac:dyDescent="0.25">
      <c r="B193" s="35">
        <v>50.5</v>
      </c>
      <c r="C193" s="123">
        <v>0</v>
      </c>
      <c r="D193" s="36">
        <v>-1.7009820500000002E-2</v>
      </c>
      <c r="E193" s="36">
        <v>-2.0267979799999999E-2</v>
      </c>
    </row>
    <row r="194" spans="2:5" x14ac:dyDescent="0.25">
      <c r="B194" s="35">
        <v>50.75</v>
      </c>
      <c r="C194" s="123">
        <v>0</v>
      </c>
      <c r="D194" s="36">
        <v>-1.9285054400000001E-2</v>
      </c>
      <c r="E194" s="36">
        <v>-1.8338462400000002E-2</v>
      </c>
    </row>
    <row r="195" spans="2:5" x14ac:dyDescent="0.25">
      <c r="B195" s="35">
        <v>51</v>
      </c>
      <c r="C195" s="123">
        <v>0</v>
      </c>
      <c r="D195" s="36">
        <v>-2.1573738499999998E-2</v>
      </c>
      <c r="E195" s="36">
        <v>-1.6375929899999999E-2</v>
      </c>
    </row>
    <row r="196" spans="2:5" x14ac:dyDescent="0.25">
      <c r="B196" s="35">
        <v>51.25</v>
      </c>
      <c r="C196" s="123">
        <v>0</v>
      </c>
      <c r="D196" s="36">
        <v>-2.3876029E-2</v>
      </c>
      <c r="E196" s="36">
        <v>-1.4381537099999999E-2</v>
      </c>
    </row>
    <row r="197" spans="2:5" x14ac:dyDescent="0.25">
      <c r="B197" s="35">
        <v>51.5</v>
      </c>
      <c r="C197" s="123">
        <v>0</v>
      </c>
      <c r="D197" s="36">
        <v>-2.61925005E-2</v>
      </c>
      <c r="E197" s="36">
        <v>-1.23567886E-2</v>
      </c>
    </row>
    <row r="198" spans="2:5" x14ac:dyDescent="0.25">
      <c r="B198" s="35">
        <v>51.75</v>
      </c>
      <c r="C198" s="123">
        <v>0</v>
      </c>
      <c r="D198" s="36">
        <v>-2.8523707400000001E-2</v>
      </c>
      <c r="E198" s="36">
        <v>-1.0303288000000001E-2</v>
      </c>
    </row>
    <row r="199" spans="2:5" x14ac:dyDescent="0.25">
      <c r="B199" s="35">
        <v>52</v>
      </c>
      <c r="C199" s="123">
        <v>0</v>
      </c>
      <c r="D199" s="36">
        <v>-3.0870099500000001E-2</v>
      </c>
      <c r="E199" s="36">
        <v>-8.2227480000000002E-3</v>
      </c>
    </row>
    <row r="200" spans="2:5" x14ac:dyDescent="0.25">
      <c r="B200" s="35">
        <v>52.25</v>
      </c>
      <c r="C200" s="123">
        <v>0</v>
      </c>
      <c r="D200" s="36">
        <v>-3.32320906E-2</v>
      </c>
      <c r="E200" s="36">
        <v>-6.1169672000000001E-3</v>
      </c>
    </row>
    <row r="201" spans="2:5" x14ac:dyDescent="0.25">
      <c r="B201" s="35">
        <v>52.5</v>
      </c>
      <c r="C201" s="123">
        <v>0</v>
      </c>
      <c r="D201" s="36">
        <v>-3.5610137100000001E-2</v>
      </c>
      <c r="E201" s="36">
        <v>-3.9876473999999997E-3</v>
      </c>
    </row>
    <row r="202" spans="2:5" x14ac:dyDescent="0.25">
      <c r="B202" s="35">
        <v>52.75</v>
      </c>
      <c r="C202" s="123">
        <v>0</v>
      </c>
      <c r="D202" s="36">
        <v>-3.8004649799999998E-2</v>
      </c>
      <c r="E202" s="36">
        <v>-1.8364704999999999E-3</v>
      </c>
    </row>
    <row r="203" spans="2:5" x14ac:dyDescent="0.25">
      <c r="B203" s="35">
        <v>53</v>
      </c>
      <c r="C203" s="123">
        <v>0</v>
      </c>
      <c r="D203" s="36">
        <v>-4.0416057800000002E-2</v>
      </c>
      <c r="E203" s="36">
        <v>3.3477049999999998E-4</v>
      </c>
    </row>
    <row r="204" spans="2:5" x14ac:dyDescent="0.25">
      <c r="B204" s="35">
        <v>53.25</v>
      </c>
      <c r="C204" s="123">
        <v>0</v>
      </c>
      <c r="D204" s="36">
        <v>-4.2844694900000001E-2</v>
      </c>
      <c r="E204" s="36">
        <v>2.5243861E-3</v>
      </c>
    </row>
    <row r="205" spans="2:5" x14ac:dyDescent="0.25">
      <c r="B205" s="35">
        <v>53.5</v>
      </c>
      <c r="C205" s="123">
        <v>0</v>
      </c>
      <c r="D205" s="36">
        <v>-4.5290399100000003E-2</v>
      </c>
      <c r="E205" s="36">
        <v>4.7315279E-3</v>
      </c>
    </row>
    <row r="206" spans="2:5" x14ac:dyDescent="0.25">
      <c r="B206" s="35">
        <v>53.75</v>
      </c>
      <c r="C206" s="123">
        <v>0</v>
      </c>
      <c r="D206" s="36">
        <v>-4.7752809700000003E-2</v>
      </c>
      <c r="E206" s="36">
        <v>6.9554980999999997E-3</v>
      </c>
    </row>
    <row r="207" spans="2:5" x14ac:dyDescent="0.25">
      <c r="B207" s="35">
        <v>54</v>
      </c>
      <c r="C207" s="123">
        <v>0</v>
      </c>
      <c r="D207" s="36">
        <v>-5.0231553499999998E-2</v>
      </c>
      <c r="E207" s="36">
        <v>9.1955803000000006E-3</v>
      </c>
    </row>
    <row r="208" spans="2:5" x14ac:dyDescent="0.25">
      <c r="B208" s="35">
        <v>54.25</v>
      </c>
      <c r="C208" s="123">
        <v>0</v>
      </c>
      <c r="D208" s="36">
        <v>-5.2726355000000003E-2</v>
      </c>
      <c r="E208" s="36">
        <v>1.14510871E-2</v>
      </c>
    </row>
    <row r="209" spans="2:5" x14ac:dyDescent="0.25">
      <c r="B209" s="35">
        <v>54.5</v>
      </c>
      <c r="C209" s="123">
        <v>0</v>
      </c>
      <c r="D209" s="36">
        <v>-5.5237059800000002E-2</v>
      </c>
      <c r="E209" s="36">
        <v>1.37214014E-2</v>
      </c>
    </row>
    <row r="210" spans="2:5" x14ac:dyDescent="0.25">
      <c r="B210" s="35">
        <v>54.75</v>
      </c>
      <c r="C210" s="123">
        <v>0</v>
      </c>
      <c r="D210" s="36">
        <v>-5.776353E-2</v>
      </c>
      <c r="E210" s="36">
        <v>1.6006003800000002E-2</v>
      </c>
    </row>
    <row r="211" spans="2:5" x14ac:dyDescent="0.25">
      <c r="B211" s="35">
        <v>55</v>
      </c>
      <c r="C211" s="123">
        <v>0</v>
      </c>
      <c r="D211" s="36">
        <v>-6.0305528599999998E-2</v>
      </c>
      <c r="E211" s="36">
        <v>1.8304508099999998E-2</v>
      </c>
    </row>
    <row r="212" spans="2:5" x14ac:dyDescent="0.25">
      <c r="B212" s="35">
        <v>55.25</v>
      </c>
      <c r="C212" s="123">
        <v>0</v>
      </c>
      <c r="D212" s="36">
        <v>-6.2862827400000001E-2</v>
      </c>
      <c r="E212" s="36">
        <v>2.0616514499999999E-2</v>
      </c>
    </row>
    <row r="213" spans="2:5" x14ac:dyDescent="0.25">
      <c r="B213" s="35">
        <v>55.5</v>
      </c>
      <c r="C213" s="123">
        <v>0</v>
      </c>
      <c r="D213" s="36">
        <v>-6.5435414900000002E-2</v>
      </c>
      <c r="E213" s="36">
        <v>2.29415839E-2</v>
      </c>
    </row>
    <row r="214" spans="2:5" x14ac:dyDescent="0.25">
      <c r="B214" s="35">
        <v>55.75</v>
      </c>
      <c r="C214" s="123">
        <v>0</v>
      </c>
      <c r="D214" s="36">
        <v>-6.8023274300000006E-2</v>
      </c>
      <c r="E214" s="36">
        <v>2.5279346000000001E-2</v>
      </c>
    </row>
    <row r="215" spans="2:5" x14ac:dyDescent="0.25">
      <c r="B215" s="35">
        <v>56</v>
      </c>
      <c r="C215" s="123">
        <v>0</v>
      </c>
      <c r="D215" s="36">
        <v>-7.06263907E-2</v>
      </c>
      <c r="E215" s="36">
        <v>2.7629416800000001E-2</v>
      </c>
    </row>
    <row r="216" spans="2:5" x14ac:dyDescent="0.25">
      <c r="B216" s="35">
        <v>56.25</v>
      </c>
      <c r="C216" s="123">
        <v>0</v>
      </c>
      <c r="D216" s="36">
        <v>-7.3244740700000005E-2</v>
      </c>
      <c r="E216" s="36">
        <v>2.99916525E-2</v>
      </c>
    </row>
    <row r="217" spans="2:5" x14ac:dyDescent="0.25">
      <c r="B217" s="35">
        <v>56.5</v>
      </c>
      <c r="C217" s="123">
        <v>0</v>
      </c>
      <c r="D217" s="36">
        <v>-7.5878307000000006E-2</v>
      </c>
      <c r="E217" s="36">
        <v>3.2366213999999997E-2</v>
      </c>
    </row>
    <row r="218" spans="2:5" x14ac:dyDescent="0.25">
      <c r="B218" s="35">
        <v>56.75</v>
      </c>
      <c r="C218" s="123">
        <v>0</v>
      </c>
      <c r="D218" s="36">
        <v>-7.8527060199999998E-2</v>
      </c>
      <c r="E218" s="36">
        <v>3.4753643600000002E-2</v>
      </c>
    </row>
    <row r="219" spans="2:5" x14ac:dyDescent="0.25">
      <c r="B219" s="35">
        <v>57</v>
      </c>
      <c r="C219" s="123">
        <v>0</v>
      </c>
      <c r="D219" s="36">
        <v>-8.1190902100000004E-2</v>
      </c>
      <c r="E219" s="36">
        <v>3.7154676400000003E-2</v>
      </c>
    </row>
    <row r="220" spans="2:5" x14ac:dyDescent="0.25">
      <c r="B220" s="35">
        <v>57.25</v>
      </c>
      <c r="C220" s="123">
        <v>0</v>
      </c>
      <c r="D220" s="36">
        <v>-8.3869614499999995E-2</v>
      </c>
      <c r="E220" s="36">
        <v>3.9570053799999998E-2</v>
      </c>
    </row>
    <row r="221" spans="2:5" x14ac:dyDescent="0.25">
      <c r="B221" s="35">
        <v>57.5</v>
      </c>
      <c r="C221" s="123">
        <v>0</v>
      </c>
      <c r="D221" s="36">
        <v>-8.6562945500000002E-2</v>
      </c>
      <c r="E221" s="36">
        <v>4.2000154200000001E-2</v>
      </c>
    </row>
    <row r="222" spans="2:5" x14ac:dyDescent="0.25">
      <c r="B222" s="35">
        <v>57.75</v>
      </c>
      <c r="C222" s="123">
        <v>0</v>
      </c>
      <c r="D222" s="36">
        <v>-8.9270672300000006E-2</v>
      </c>
      <c r="E222" s="36">
        <v>4.4445241000000003E-2</v>
      </c>
    </row>
    <row r="223" spans="2:5" x14ac:dyDescent="0.25">
      <c r="B223" s="35">
        <v>58</v>
      </c>
      <c r="C223" s="123">
        <v>0</v>
      </c>
      <c r="D223" s="36">
        <v>-9.1992631399999997E-2</v>
      </c>
      <c r="E223" s="36">
        <v>4.6905498599999998E-2</v>
      </c>
    </row>
    <row r="224" spans="2:5" x14ac:dyDescent="0.25">
      <c r="B224" s="35">
        <v>58.25</v>
      </c>
      <c r="C224" s="123">
        <v>0</v>
      </c>
      <c r="D224" s="36">
        <v>-9.4728627300000007E-2</v>
      </c>
      <c r="E224" s="36">
        <v>4.9380871799999997E-2</v>
      </c>
    </row>
    <row r="225" spans="2:5" x14ac:dyDescent="0.25">
      <c r="B225" s="35">
        <v>58.5</v>
      </c>
      <c r="C225" s="123">
        <v>0</v>
      </c>
      <c r="D225" s="36">
        <v>-9.7478402699999994E-2</v>
      </c>
      <c r="E225" s="36">
        <v>5.1870729099999999E-2</v>
      </c>
    </row>
    <row r="226" spans="2:5" x14ac:dyDescent="0.25">
      <c r="B226" s="35">
        <v>58.75</v>
      </c>
      <c r="C226" s="123">
        <v>0</v>
      </c>
      <c r="D226" s="36">
        <v>-0.10024172250000001</v>
      </c>
      <c r="E226" s="36">
        <v>5.4374380999999999E-2</v>
      </c>
    </row>
    <row r="227" spans="2:5" x14ac:dyDescent="0.25">
      <c r="B227" s="35">
        <v>59</v>
      </c>
      <c r="C227" s="123">
        <v>0</v>
      </c>
      <c r="D227" s="36">
        <v>-0.1030183237</v>
      </c>
      <c r="E227" s="36">
        <v>5.6891217199999997E-2</v>
      </c>
    </row>
    <row r="228" spans="2:5" x14ac:dyDescent="0.25">
      <c r="B228" s="35">
        <v>59.25</v>
      </c>
      <c r="C228" s="123">
        <v>0</v>
      </c>
      <c r="D228" s="36">
        <v>-0.10580791859999999</v>
      </c>
      <c r="E228" s="36">
        <v>5.9420572800000002E-2</v>
      </c>
    </row>
    <row r="229" spans="2:5" x14ac:dyDescent="0.25">
      <c r="B229" s="35">
        <v>59.5</v>
      </c>
      <c r="C229" s="123">
        <v>0</v>
      </c>
      <c r="D229" s="36">
        <v>-0.1086103212</v>
      </c>
      <c r="E229" s="36">
        <v>6.1961595000000001E-2</v>
      </c>
    </row>
    <row r="230" spans="2:5" x14ac:dyDescent="0.25">
      <c r="B230" s="35">
        <v>59.75</v>
      </c>
      <c r="C230" s="123">
        <v>0</v>
      </c>
      <c r="D230" s="36">
        <v>-0.1114253407</v>
      </c>
      <c r="E230" s="36">
        <v>6.4513431800000007E-2</v>
      </c>
    </row>
    <row r="231" spans="2:5" x14ac:dyDescent="0.25">
      <c r="B231" s="35">
        <v>60</v>
      </c>
      <c r="C231" s="123">
        <v>0</v>
      </c>
      <c r="D231" s="36">
        <v>-0.114252768</v>
      </c>
      <c r="E231" s="36">
        <v>6.7075398300000005E-2</v>
      </c>
    </row>
    <row r="232" spans="2:5" x14ac:dyDescent="0.25">
      <c r="B232" s="35">
        <v>60.25</v>
      </c>
      <c r="C232" s="123">
        <v>0</v>
      </c>
      <c r="D232" s="36">
        <v>-0.1170923307</v>
      </c>
      <c r="E232" s="36">
        <v>6.9647074500000003E-2</v>
      </c>
    </row>
    <row r="233" spans="2:5" x14ac:dyDescent="0.25">
      <c r="B233" s="35">
        <v>60.5</v>
      </c>
      <c r="C233" s="123">
        <v>0</v>
      </c>
      <c r="D233" s="36">
        <v>-0.1199436626</v>
      </c>
      <c r="E233" s="36">
        <v>7.2228090300000006E-2</v>
      </c>
    </row>
    <row r="234" spans="2:5" x14ac:dyDescent="0.25">
      <c r="B234" s="35">
        <v>60.75</v>
      </c>
      <c r="C234" s="123">
        <v>0</v>
      </c>
      <c r="D234" s="36">
        <v>-0.12280636239999999</v>
      </c>
      <c r="E234" s="36">
        <v>7.4818085800000003E-2</v>
      </c>
    </row>
    <row r="235" spans="2:5" x14ac:dyDescent="0.25">
      <c r="B235" s="35">
        <v>61</v>
      </c>
      <c r="C235" s="123">
        <v>0</v>
      </c>
      <c r="D235" s="36">
        <v>-0.12568002859999999</v>
      </c>
      <c r="E235" s="36">
        <v>7.7416691699999998E-2</v>
      </c>
    </row>
    <row r="236" spans="2:5" x14ac:dyDescent="0.25">
      <c r="B236" s="35">
        <v>61.25</v>
      </c>
      <c r="C236" s="123">
        <v>0</v>
      </c>
      <c r="D236" s="36">
        <v>-0.12856422849999999</v>
      </c>
      <c r="E236" s="36">
        <v>8.0023513399999996E-2</v>
      </c>
    </row>
    <row r="237" spans="2:5" x14ac:dyDescent="0.25">
      <c r="B237" s="35">
        <v>61.5</v>
      </c>
      <c r="C237" s="123">
        <v>0</v>
      </c>
      <c r="D237" s="36">
        <v>-0.13145839009999999</v>
      </c>
      <c r="E237" s="36">
        <v>8.2637997199999993E-2</v>
      </c>
    </row>
    <row r="238" spans="2:5" x14ac:dyDescent="0.25">
      <c r="B238" s="35">
        <v>61.75</v>
      </c>
      <c r="C238" s="123">
        <v>0</v>
      </c>
      <c r="D238" s="36">
        <v>-0.1343619167</v>
      </c>
      <c r="E238" s="36">
        <v>8.5259574199999993E-2</v>
      </c>
    </row>
    <row r="239" spans="2:5" x14ac:dyDescent="0.25">
      <c r="B239" s="35">
        <v>62</v>
      </c>
      <c r="C239" s="123">
        <v>0</v>
      </c>
      <c r="D239" s="36">
        <v>-0.13727417519999999</v>
      </c>
      <c r="E239" s="36">
        <v>8.7887691300000001E-2</v>
      </c>
    </row>
    <row r="240" spans="2:5" x14ac:dyDescent="0.25">
      <c r="B240" s="35">
        <v>62.25</v>
      </c>
      <c r="C240" s="123">
        <v>0</v>
      </c>
      <c r="D240" s="36">
        <v>-0.14019449689999999</v>
      </c>
      <c r="E240" s="36">
        <v>9.0521759399999999E-2</v>
      </c>
    </row>
    <row r="241" spans="2:5" x14ac:dyDescent="0.25">
      <c r="B241" s="35">
        <v>62.5</v>
      </c>
      <c r="C241" s="123">
        <v>0</v>
      </c>
      <c r="D241" s="36">
        <v>-0.14312216050000001</v>
      </c>
      <c r="E241" s="36">
        <v>9.3161013799999998E-2</v>
      </c>
    </row>
    <row r="242" spans="2:5" x14ac:dyDescent="0.25">
      <c r="B242" s="35">
        <v>62.75</v>
      </c>
      <c r="C242" s="123">
        <v>0</v>
      </c>
      <c r="D242" s="36">
        <v>-0.1460564751</v>
      </c>
      <c r="E242" s="36">
        <v>9.5804620300000004E-2</v>
      </c>
    </row>
    <row r="243" spans="2:5" x14ac:dyDescent="0.25">
      <c r="B243" s="35">
        <v>63</v>
      </c>
      <c r="C243" s="123">
        <v>0</v>
      </c>
      <c r="D243" s="36">
        <v>-0.14899680330000001</v>
      </c>
      <c r="E243" s="36">
        <v>9.8451756799999998E-2</v>
      </c>
    </row>
    <row r="244" spans="2:5" x14ac:dyDescent="0.25">
      <c r="B244" s="35">
        <v>63.25</v>
      </c>
      <c r="C244" s="123">
        <v>0</v>
      </c>
      <c r="D244" s="36">
        <v>-0.15194257629999999</v>
      </c>
      <c r="E244" s="36">
        <v>0.1011015361</v>
      </c>
    </row>
    <row r="245" spans="2:5" x14ac:dyDescent="0.25">
      <c r="B245" s="35">
        <v>63.5</v>
      </c>
      <c r="C245" s="123">
        <v>0</v>
      </c>
      <c r="D245" s="36">
        <v>-0.1548933935</v>
      </c>
      <c r="E245" s="36">
        <v>0.1037527729</v>
      </c>
    </row>
    <row r="246" spans="2:5" x14ac:dyDescent="0.25">
      <c r="B246" s="35">
        <v>63.75</v>
      </c>
      <c r="C246" s="123">
        <v>0</v>
      </c>
      <c r="D246" s="36">
        <v>-0.1578488861</v>
      </c>
      <c r="E246" s="36">
        <v>0.1064042466</v>
      </c>
    </row>
    <row r="247" spans="2:5" x14ac:dyDescent="0.25">
      <c r="B247" s="35">
        <v>64</v>
      </c>
      <c r="C247" s="123">
        <v>0</v>
      </c>
      <c r="D247" s="36">
        <v>-0.16080867779999999</v>
      </c>
      <c r="E247" s="36">
        <v>0.10905476359999999</v>
      </c>
    </row>
    <row r="248" spans="2:5" x14ac:dyDescent="0.25">
      <c r="B248" s="35">
        <v>64.25</v>
      </c>
      <c r="C248" s="123">
        <v>0</v>
      </c>
      <c r="D248" s="36">
        <v>-0.16377245300000001</v>
      </c>
      <c r="E248" s="36">
        <v>0.1117031346</v>
      </c>
    </row>
    <row r="249" spans="2:5" x14ac:dyDescent="0.25">
      <c r="B249" s="35">
        <v>64.5</v>
      </c>
      <c r="C249" s="123">
        <v>0</v>
      </c>
      <c r="D249" s="36">
        <v>-0.1667400725</v>
      </c>
      <c r="E249" s="36">
        <v>0.1143479796</v>
      </c>
    </row>
    <row r="250" spans="2:5" x14ac:dyDescent="0.25">
      <c r="B250" s="35">
        <v>64.75</v>
      </c>
      <c r="C250" s="123">
        <v>0</v>
      </c>
      <c r="D250" s="36">
        <v>-0.16971148110000001</v>
      </c>
      <c r="E250" s="36">
        <v>0.1169879343</v>
      </c>
    </row>
    <row r="251" spans="2:5" x14ac:dyDescent="0.25">
      <c r="B251" s="35">
        <v>65</v>
      </c>
      <c r="C251" s="123">
        <v>0</v>
      </c>
      <c r="D251" s="36">
        <v>-0.17268663349999999</v>
      </c>
      <c r="E251" s="36">
        <v>0.1196217151</v>
      </c>
    </row>
    <row r="252" spans="2:5" x14ac:dyDescent="0.25">
      <c r="B252" s="35">
        <v>65.25</v>
      </c>
      <c r="C252" s="123">
        <v>0</v>
      </c>
      <c r="D252" s="36">
        <v>-0.17566547190000001</v>
      </c>
      <c r="E252" s="36">
        <v>0.122248118</v>
      </c>
    </row>
    <row r="253" spans="2:5" x14ac:dyDescent="0.25">
      <c r="B253" s="35">
        <v>65.5</v>
      </c>
      <c r="C253" s="123">
        <v>0</v>
      </c>
      <c r="D253" s="36">
        <v>-0.1786478511</v>
      </c>
      <c r="E253" s="36">
        <v>0.1248661732</v>
      </c>
    </row>
    <row r="254" spans="2:5" x14ac:dyDescent="0.25">
      <c r="B254" s="35">
        <v>65.75</v>
      </c>
      <c r="C254" s="123">
        <v>0</v>
      </c>
      <c r="D254" s="36">
        <v>-0.18163360719999999</v>
      </c>
      <c r="E254" s="36">
        <v>0.12747501980000001</v>
      </c>
    </row>
    <row r="255" spans="2:5" x14ac:dyDescent="0.25">
      <c r="B255" s="35">
        <v>66</v>
      </c>
      <c r="C255" s="123">
        <v>0</v>
      </c>
      <c r="D255" s="36">
        <v>-0.18462255399999999</v>
      </c>
      <c r="E255" s="36">
        <v>0.13007391099999999</v>
      </c>
    </row>
    <row r="256" spans="2:5" x14ac:dyDescent="0.25">
      <c r="B256" s="35">
        <v>66.25</v>
      </c>
      <c r="C256" s="123">
        <v>0</v>
      </c>
      <c r="D256" s="36">
        <v>-0.18761451979999999</v>
      </c>
      <c r="E256" s="36">
        <v>0.13266213130000001</v>
      </c>
    </row>
    <row r="257" spans="2:5" x14ac:dyDescent="0.25">
      <c r="B257" s="35">
        <v>66.5</v>
      </c>
      <c r="C257" s="123">
        <v>0</v>
      </c>
      <c r="D257" s="36">
        <v>-0.19060939739999999</v>
      </c>
      <c r="E257" s="36">
        <v>0.1352390601</v>
      </c>
    </row>
    <row r="258" spans="2:5" x14ac:dyDescent="0.25">
      <c r="B258" s="35">
        <v>66.75</v>
      </c>
      <c r="C258" s="123">
        <v>0</v>
      </c>
      <c r="D258" s="36">
        <v>-0.19360712660000001</v>
      </c>
      <c r="E258" s="36">
        <v>0.13780410800000001</v>
      </c>
    </row>
    <row r="259" spans="2:5" x14ac:dyDescent="0.25">
      <c r="B259" s="35">
        <v>67</v>
      </c>
      <c r="C259" s="123">
        <v>0</v>
      </c>
      <c r="D259" s="36">
        <v>-0.19660766809999999</v>
      </c>
      <c r="E259" s="36">
        <v>0.14035669840000001</v>
      </c>
    </row>
    <row r="260" spans="2:5" x14ac:dyDescent="0.25">
      <c r="B260" s="35">
        <v>67.25</v>
      </c>
      <c r="C260" s="123">
        <v>0</v>
      </c>
      <c r="D260" s="36">
        <v>-0.19961100749999999</v>
      </c>
      <c r="E260" s="36">
        <v>0.142896262</v>
      </c>
    </row>
    <row r="261" spans="2:5" x14ac:dyDescent="0.25">
      <c r="B261" s="35">
        <v>67.5</v>
      </c>
      <c r="C261" s="123">
        <v>0</v>
      </c>
      <c r="D261" s="36">
        <v>-0.20261705520000001</v>
      </c>
      <c r="E261" s="36">
        <v>0.14542219710000001</v>
      </c>
    </row>
    <row r="262" spans="2:5" x14ac:dyDescent="0.25">
      <c r="B262" s="35">
        <v>67.75</v>
      </c>
      <c r="C262" s="123">
        <v>0</v>
      </c>
      <c r="D262" s="36">
        <v>-0.20562566239999999</v>
      </c>
      <c r="E262" s="36">
        <v>0.1479339314</v>
      </c>
    </row>
    <row r="263" spans="2:5" x14ac:dyDescent="0.25">
      <c r="B263" s="35">
        <v>68</v>
      </c>
      <c r="C263" s="123">
        <v>0</v>
      </c>
      <c r="D263" s="36">
        <v>-0.20863668430000001</v>
      </c>
      <c r="E263" s="36">
        <v>0.150430908</v>
      </c>
    </row>
    <row r="264" spans="2:5" x14ac:dyDescent="0.25">
      <c r="B264" s="35">
        <v>68.25</v>
      </c>
      <c r="C264" s="123">
        <v>0</v>
      </c>
      <c r="D264" s="36">
        <v>-0.21164996929999999</v>
      </c>
      <c r="E264" s="36">
        <v>0.15291262789999999</v>
      </c>
    </row>
    <row r="265" spans="2:5" x14ac:dyDescent="0.25">
      <c r="B265" s="35">
        <v>68.5</v>
      </c>
      <c r="C265" s="123">
        <v>0</v>
      </c>
      <c r="D265" s="36">
        <v>-0.2146652325</v>
      </c>
      <c r="E265" s="36">
        <v>0.1553788213</v>
      </c>
    </row>
    <row r="266" spans="2:5" x14ac:dyDescent="0.25">
      <c r="B266" s="35">
        <v>68.75</v>
      </c>
      <c r="C266" s="123">
        <v>0</v>
      </c>
      <c r="D266" s="36">
        <v>-0.2176821947</v>
      </c>
      <c r="E266" s="36">
        <v>0.15782927369999999</v>
      </c>
    </row>
    <row r="267" spans="2:5" x14ac:dyDescent="0.25">
      <c r="B267" s="35">
        <v>69</v>
      </c>
      <c r="C267" s="123">
        <v>0</v>
      </c>
      <c r="D267" s="36">
        <v>-0.2207005883</v>
      </c>
      <c r="E267" s="36">
        <v>0.1602637985</v>
      </c>
    </row>
    <row r="268" spans="2:5" x14ac:dyDescent="0.25">
      <c r="B268" s="35">
        <v>69.25</v>
      </c>
      <c r="C268" s="123">
        <v>0</v>
      </c>
      <c r="D268" s="36">
        <v>-0.22372013939999999</v>
      </c>
      <c r="E268" s="36">
        <v>0.1626823258</v>
      </c>
    </row>
    <row r="269" spans="2:5" x14ac:dyDescent="0.25">
      <c r="B269" s="35">
        <v>69.5</v>
      </c>
      <c r="C269" s="123">
        <v>0</v>
      </c>
      <c r="D269" s="36">
        <v>-0.2267405448</v>
      </c>
      <c r="E269" s="36">
        <v>0.16508490119999999</v>
      </c>
    </row>
    <row r="270" spans="2:5" x14ac:dyDescent="0.25">
      <c r="B270" s="35">
        <v>69.75</v>
      </c>
      <c r="C270" s="123">
        <v>0</v>
      </c>
      <c r="D270" s="36">
        <v>-0.22976151319999999</v>
      </c>
      <c r="E270" s="36">
        <v>0.167471601</v>
      </c>
    </row>
    <row r="271" spans="2:5" x14ac:dyDescent="0.25">
      <c r="B271" s="35">
        <v>70</v>
      </c>
      <c r="C271" s="123">
        <v>0</v>
      </c>
      <c r="D271" s="36">
        <v>-0.2327827516</v>
      </c>
      <c r="E271" s="36">
        <v>0.16984252180000001</v>
      </c>
    </row>
    <row r="272" spans="2:5" x14ac:dyDescent="0.25">
      <c r="B272" s="35">
        <v>70.25</v>
      </c>
      <c r="C272" s="123">
        <v>0</v>
      </c>
      <c r="D272" s="36">
        <v>-0.23580396449999999</v>
      </c>
      <c r="E272" s="36">
        <v>0.17219776449999999</v>
      </c>
    </row>
    <row r="273" spans="2:5" x14ac:dyDescent="0.25">
      <c r="B273" s="35">
        <v>70.5</v>
      </c>
      <c r="C273" s="123">
        <v>0</v>
      </c>
      <c r="D273" s="36">
        <v>-0.23882486050000001</v>
      </c>
      <c r="E273" s="36">
        <v>0.1745373741</v>
      </c>
    </row>
    <row r="274" spans="2:5" x14ac:dyDescent="0.25">
      <c r="B274" s="35">
        <v>70.75</v>
      </c>
      <c r="C274" s="123">
        <v>0</v>
      </c>
      <c r="D274" s="36">
        <v>-0.24184517899999999</v>
      </c>
      <c r="E274" s="36">
        <v>0.17686136920000001</v>
      </c>
    </row>
    <row r="275" spans="2:5" x14ac:dyDescent="0.25">
      <c r="B275" s="35">
        <v>71</v>
      </c>
      <c r="C275" s="123">
        <v>0</v>
      </c>
      <c r="D275" s="36">
        <v>-0.24486469729999999</v>
      </c>
      <c r="E275" s="36">
        <v>0.179169778</v>
      </c>
    </row>
    <row r="276" spans="2:5" x14ac:dyDescent="0.25">
      <c r="B276" s="35">
        <v>71.25</v>
      </c>
      <c r="C276" s="123">
        <v>0</v>
      </c>
      <c r="D276" s="36">
        <v>-0.24788322700000001</v>
      </c>
      <c r="E276" s="36">
        <v>0.1814626775</v>
      </c>
    </row>
    <row r="277" spans="2:5" x14ac:dyDescent="0.25">
      <c r="B277" s="35">
        <v>71.5</v>
      </c>
      <c r="C277" s="123">
        <v>0</v>
      </c>
      <c r="D277" s="36">
        <v>-0.25090061969999999</v>
      </c>
      <c r="E277" s="36">
        <v>0.18374008180000001</v>
      </c>
    </row>
    <row r="278" spans="2:5" x14ac:dyDescent="0.25">
      <c r="B278" s="35">
        <v>71.75</v>
      </c>
      <c r="C278" s="123">
        <v>0</v>
      </c>
      <c r="D278" s="36">
        <v>-0.2539167363</v>
      </c>
      <c r="E278" s="36">
        <v>0.1860019779</v>
      </c>
    </row>
    <row r="279" spans="2:5" x14ac:dyDescent="0.25">
      <c r="B279" s="35">
        <v>72</v>
      </c>
      <c r="C279" s="123">
        <v>0</v>
      </c>
      <c r="D279" s="36">
        <v>-0.25693143730000001</v>
      </c>
      <c r="E279" s="36">
        <v>0.18824833769999999</v>
      </c>
    </row>
    <row r="280" spans="2:5" x14ac:dyDescent="0.25">
      <c r="B280" s="35">
        <v>72.25</v>
      </c>
      <c r="C280" s="123">
        <v>0</v>
      </c>
      <c r="D280" s="36">
        <v>-0.25994454680000001</v>
      </c>
      <c r="E280" s="36">
        <v>0.19047916619999999</v>
      </c>
    </row>
    <row r="281" spans="2:5" x14ac:dyDescent="0.25">
      <c r="B281" s="35">
        <v>72.5</v>
      </c>
      <c r="C281" s="123">
        <v>0</v>
      </c>
      <c r="D281" s="36">
        <v>-0.26295582290000002</v>
      </c>
      <c r="E281" s="36">
        <v>0.19269466939999999</v>
      </c>
    </row>
    <row r="282" spans="2:5" x14ac:dyDescent="0.25">
      <c r="B282" s="35">
        <v>72.75</v>
      </c>
      <c r="C282" s="123">
        <v>0</v>
      </c>
      <c r="D282" s="36">
        <v>-0.2659650147</v>
      </c>
      <c r="E282" s="36">
        <v>0.19489520430000001</v>
      </c>
    </row>
    <row r="283" spans="2:5" x14ac:dyDescent="0.25">
      <c r="B283" s="35">
        <v>73</v>
      </c>
      <c r="C283" s="123">
        <v>0</v>
      </c>
      <c r="D283" s="36">
        <v>-0.2689718713</v>
      </c>
      <c r="E283" s="36">
        <v>0.19708125109999999</v>
      </c>
    </row>
    <row r="284" spans="2:5" x14ac:dyDescent="0.25">
      <c r="B284" s="35">
        <v>73.25</v>
      </c>
      <c r="C284" s="123">
        <v>0</v>
      </c>
      <c r="D284" s="36">
        <v>-0.27197614590000002</v>
      </c>
      <c r="E284" s="36">
        <v>0.199253281</v>
      </c>
    </row>
    <row r="285" spans="2:5" x14ac:dyDescent="0.25">
      <c r="B285" s="35">
        <v>73.5</v>
      </c>
      <c r="C285" s="123">
        <v>0</v>
      </c>
      <c r="D285" s="36">
        <v>-0.27497758379999998</v>
      </c>
      <c r="E285" s="36">
        <v>0.20141165229999999</v>
      </c>
    </row>
    <row r="286" spans="2:5" x14ac:dyDescent="0.25">
      <c r="B286" s="35">
        <v>73.75</v>
      </c>
      <c r="C286" s="123">
        <v>0</v>
      </c>
      <c r="D286" s="36">
        <v>-0.27797592640000002</v>
      </c>
      <c r="E286" s="36">
        <v>0.2035566808</v>
      </c>
    </row>
    <row r="287" spans="2:5" x14ac:dyDescent="0.25">
      <c r="B287" s="35">
        <v>74</v>
      </c>
      <c r="C287" s="123">
        <v>0</v>
      </c>
      <c r="D287" s="36">
        <v>-0.28097093010000002</v>
      </c>
      <c r="E287" s="36">
        <v>0.2056886818</v>
      </c>
    </row>
    <row r="288" spans="2:5" x14ac:dyDescent="0.25">
      <c r="B288" s="35">
        <v>74.25</v>
      </c>
      <c r="C288" s="123">
        <v>0</v>
      </c>
      <c r="D288" s="36">
        <v>-0.28396236180000001</v>
      </c>
      <c r="E288" s="36">
        <v>0.2078079749</v>
      </c>
    </row>
    <row r="289" spans="2:5" x14ac:dyDescent="0.25">
      <c r="B289" s="35">
        <v>74.5</v>
      </c>
      <c r="C289" s="123">
        <v>0</v>
      </c>
      <c r="D289" s="36">
        <v>-0.28694997760000002</v>
      </c>
      <c r="E289" s="36">
        <v>0.20991485739999999</v>
      </c>
    </row>
    <row r="290" spans="2:5" x14ac:dyDescent="0.25">
      <c r="B290" s="35">
        <v>74.75</v>
      </c>
      <c r="C290" s="123">
        <v>0</v>
      </c>
      <c r="D290" s="36">
        <v>-0.28993352779999998</v>
      </c>
      <c r="E290" s="36">
        <v>0.21200965250000001</v>
      </c>
    </row>
    <row r="291" spans="2:5" x14ac:dyDescent="0.25">
      <c r="B291" s="35">
        <v>75</v>
      </c>
      <c r="C291" s="123">
        <v>0</v>
      </c>
      <c r="D291" s="36">
        <v>-0.29291275999999999</v>
      </c>
      <c r="E291" s="36">
        <v>0.21409265890000001</v>
      </c>
    </row>
    <row r="292" spans="2:5" x14ac:dyDescent="0.25">
      <c r="B292" s="35">
        <v>75.25</v>
      </c>
      <c r="C292" s="123">
        <v>0</v>
      </c>
      <c r="D292" s="36">
        <v>-0.2958874051</v>
      </c>
      <c r="E292" s="36">
        <v>0.21616419789999999</v>
      </c>
    </row>
    <row r="293" spans="2:5" x14ac:dyDescent="0.25">
      <c r="B293" s="35">
        <v>75.5</v>
      </c>
      <c r="C293" s="123">
        <v>0</v>
      </c>
      <c r="D293" s="36">
        <v>-0.29885720440000002</v>
      </c>
      <c r="E293" s="36">
        <v>0.21822462510000001</v>
      </c>
    </row>
    <row r="294" spans="2:5" x14ac:dyDescent="0.25">
      <c r="B294" s="35">
        <v>75.75</v>
      </c>
      <c r="C294" s="123">
        <v>0</v>
      </c>
      <c r="D294" s="36">
        <v>-0.30182191200000003</v>
      </c>
      <c r="E294" s="36">
        <v>0.22027428539999999</v>
      </c>
    </row>
    <row r="295" spans="2:5" x14ac:dyDescent="0.25">
      <c r="B295" s="35">
        <v>76</v>
      </c>
      <c r="C295" s="123">
        <v>0</v>
      </c>
      <c r="D295" s="36">
        <v>-0.3047812815</v>
      </c>
      <c r="E295" s="36">
        <v>0.22231353270000001</v>
      </c>
    </row>
    <row r="296" spans="2:5" x14ac:dyDescent="0.25">
      <c r="B296" s="35">
        <v>76.25</v>
      </c>
      <c r="C296" s="123">
        <v>0</v>
      </c>
      <c r="D296" s="36">
        <v>-0.30773506690000002</v>
      </c>
      <c r="E296" s="36">
        <v>0.2243427127</v>
      </c>
    </row>
    <row r="297" spans="2:5" x14ac:dyDescent="0.25">
      <c r="B297" s="35">
        <v>76.5</v>
      </c>
      <c r="C297" s="123">
        <v>0</v>
      </c>
      <c r="D297" s="36">
        <v>-0.31068302689999999</v>
      </c>
      <c r="E297" s="36">
        <v>0.2263621468</v>
      </c>
    </row>
    <row r="298" spans="2:5" x14ac:dyDescent="0.25">
      <c r="B298" s="35">
        <v>76.75</v>
      </c>
      <c r="C298" s="123">
        <v>0</v>
      </c>
      <c r="D298" s="36">
        <v>-0.31362490850000002</v>
      </c>
      <c r="E298" s="36">
        <v>0.22837217369999999</v>
      </c>
    </row>
    <row r="299" spans="2:5" x14ac:dyDescent="0.25">
      <c r="B299" s="35">
        <v>77</v>
      </c>
      <c r="C299" s="123">
        <v>0</v>
      </c>
      <c r="D299" s="36">
        <v>-0.31656045449999998</v>
      </c>
      <c r="E299" s="36">
        <v>0.2303731561</v>
      </c>
    </row>
    <row r="300" spans="2:5" x14ac:dyDescent="0.25">
      <c r="B300" s="35">
        <v>77.25</v>
      </c>
      <c r="C300" s="123">
        <v>0</v>
      </c>
      <c r="D300" s="36">
        <v>-0.31948942819999998</v>
      </c>
      <c r="E300" s="36">
        <v>0.23236544310000001</v>
      </c>
    </row>
    <row r="301" spans="2:5" x14ac:dyDescent="0.25">
      <c r="B301" s="35">
        <v>77.5</v>
      </c>
      <c r="C301" s="123">
        <v>0</v>
      </c>
      <c r="D301" s="36">
        <v>-0.322411644</v>
      </c>
      <c r="E301" s="36">
        <v>0.2343493143</v>
      </c>
    </row>
    <row r="302" spans="2:5" x14ac:dyDescent="0.25">
      <c r="B302" s="35">
        <v>77.75</v>
      </c>
      <c r="C302" s="123">
        <v>0</v>
      </c>
      <c r="D302" s="36">
        <v>-0.32532693610000002</v>
      </c>
      <c r="E302" s="36">
        <v>0.23632505100000001</v>
      </c>
    </row>
    <row r="303" spans="2:5" x14ac:dyDescent="0.25">
      <c r="B303" s="35">
        <v>78</v>
      </c>
      <c r="C303" s="123">
        <v>0</v>
      </c>
      <c r="D303" s="36">
        <v>-0.32823514300000001</v>
      </c>
      <c r="E303" s="36">
        <v>0.23829293509999999</v>
      </c>
    </row>
    <row r="304" spans="2:5" x14ac:dyDescent="0.25">
      <c r="B304" s="35">
        <v>78.25</v>
      </c>
      <c r="C304" s="123">
        <v>0</v>
      </c>
      <c r="D304" s="36">
        <v>-0.33113612170000001</v>
      </c>
      <c r="E304" s="36">
        <v>0.24025323109999999</v>
      </c>
    </row>
    <row r="305" spans="2:5" x14ac:dyDescent="0.25">
      <c r="B305" s="35">
        <v>78.5</v>
      </c>
      <c r="C305" s="123">
        <v>0</v>
      </c>
      <c r="D305" s="36">
        <v>-0.33402978129999999</v>
      </c>
      <c r="E305" s="36">
        <v>0.24220616170000001</v>
      </c>
    </row>
    <row r="306" spans="2:5" x14ac:dyDescent="0.25">
      <c r="B306" s="35">
        <v>78.75</v>
      </c>
      <c r="C306" s="123">
        <v>0</v>
      </c>
      <c r="D306" s="36">
        <v>-0.3369160424</v>
      </c>
      <c r="E306" s="36">
        <v>0.2441519265</v>
      </c>
    </row>
    <row r="307" spans="2:5" x14ac:dyDescent="0.25">
      <c r="B307" s="35">
        <v>79</v>
      </c>
      <c r="C307" s="123">
        <v>0</v>
      </c>
      <c r="D307" s="36">
        <v>-0.33979483119999998</v>
      </c>
      <c r="E307" s="36">
        <v>0.24609071360000001</v>
      </c>
    </row>
    <row r="308" spans="2:5" x14ac:dyDescent="0.25">
      <c r="B308" s="35">
        <v>79.25</v>
      </c>
      <c r="C308" s="123">
        <v>0</v>
      </c>
      <c r="D308" s="36">
        <v>-0.34266607519999998</v>
      </c>
      <c r="E308" s="36">
        <v>0.24802271300000001</v>
      </c>
    </row>
    <row r="309" spans="2:5" x14ac:dyDescent="0.25">
      <c r="B309" s="35">
        <v>79.5</v>
      </c>
      <c r="C309" s="123">
        <v>0</v>
      </c>
      <c r="D309" s="36">
        <v>-0.34552969620000001</v>
      </c>
      <c r="E309" s="36">
        <v>0.24994813390000001</v>
      </c>
    </row>
    <row r="310" spans="2:5" x14ac:dyDescent="0.25">
      <c r="B310" s="35">
        <v>79.75</v>
      </c>
      <c r="C310" s="123">
        <v>0</v>
      </c>
      <c r="D310" s="36">
        <v>-0.3483856172</v>
      </c>
      <c r="E310" s="36">
        <v>0.25186718299999999</v>
      </c>
    </row>
    <row r="311" spans="2:5" x14ac:dyDescent="0.25">
      <c r="B311" s="35">
        <v>80</v>
      </c>
      <c r="C311" s="123">
        <v>0</v>
      </c>
      <c r="D311" s="36">
        <v>-0.35123376010000001</v>
      </c>
      <c r="E311" s="36">
        <v>0.25378005619999999</v>
      </c>
    </row>
    <row r="312" spans="2:5" x14ac:dyDescent="0.25">
      <c r="B312" s="35">
        <v>80.25</v>
      </c>
      <c r="C312" s="123">
        <v>0</v>
      </c>
      <c r="D312" s="36">
        <v>-0.35407404819999999</v>
      </c>
      <c r="E312" s="36">
        <v>0.25568691650000003</v>
      </c>
    </row>
    <row r="313" spans="2:5" x14ac:dyDescent="0.25">
      <c r="B313" s="35">
        <v>80.5</v>
      </c>
      <c r="C313" s="123">
        <v>0</v>
      </c>
      <c r="D313" s="36">
        <v>-0.35690642459999999</v>
      </c>
      <c r="E313" s="36">
        <v>0.2575878419</v>
      </c>
    </row>
    <row r="314" spans="2:5" x14ac:dyDescent="0.25">
      <c r="B314" s="35">
        <v>80.75</v>
      </c>
      <c r="C314" s="123">
        <v>0</v>
      </c>
      <c r="D314" s="36">
        <v>-0.35973084030000002</v>
      </c>
      <c r="E314" s="36">
        <v>0.25948291629999998</v>
      </c>
    </row>
    <row r="315" spans="2:5" x14ac:dyDescent="0.25">
      <c r="B315" s="35">
        <v>81</v>
      </c>
      <c r="C315" s="123">
        <v>0</v>
      </c>
      <c r="D315" s="36">
        <v>-0.36254724690000001</v>
      </c>
      <c r="E315" s="36">
        <v>0.2613722228</v>
      </c>
    </row>
    <row r="316" spans="2:5" x14ac:dyDescent="0.25">
      <c r="B316" s="35">
        <v>81.25</v>
      </c>
      <c r="C316" s="123">
        <v>0</v>
      </c>
      <c r="D316" s="36">
        <v>-0.36535560519999999</v>
      </c>
      <c r="E316" s="36">
        <v>0.26325583660000001</v>
      </c>
    </row>
    <row r="317" spans="2:5" x14ac:dyDescent="0.25">
      <c r="B317" s="35">
        <v>81.5</v>
      </c>
      <c r="C317" s="123">
        <v>0</v>
      </c>
      <c r="D317" s="36">
        <v>-0.36815589230000001</v>
      </c>
      <c r="E317" s="36">
        <v>0.26513383010000002</v>
      </c>
    </row>
    <row r="318" spans="2:5" x14ac:dyDescent="0.25">
      <c r="B318" s="35">
        <v>81.75</v>
      </c>
      <c r="C318" s="123">
        <v>0</v>
      </c>
      <c r="D318" s="36">
        <v>-0.37094808829999998</v>
      </c>
      <c r="E318" s="36">
        <v>0.26700627030000001</v>
      </c>
    </row>
    <row r="319" spans="2:5" x14ac:dyDescent="0.25">
      <c r="B319" s="35">
        <v>82</v>
      </c>
      <c r="C319" s="123">
        <v>0</v>
      </c>
      <c r="D319" s="36">
        <v>-0.37373217559999999</v>
      </c>
      <c r="E319" s="36">
        <v>0.26887322400000002</v>
      </c>
    </row>
    <row r="320" spans="2:5" x14ac:dyDescent="0.25">
      <c r="B320" s="35">
        <v>82.25</v>
      </c>
      <c r="C320" s="123">
        <v>0</v>
      </c>
      <c r="D320" s="36">
        <v>-0.37650814049999998</v>
      </c>
      <c r="E320" s="36">
        <v>0.27073476390000001</v>
      </c>
    </row>
    <row r="321" spans="2:5" x14ac:dyDescent="0.25">
      <c r="B321" s="35">
        <v>82.5</v>
      </c>
      <c r="C321" s="123">
        <v>0</v>
      </c>
      <c r="D321" s="36">
        <v>-0.37927596810000003</v>
      </c>
      <c r="E321" s="36">
        <v>0.27259097240000002</v>
      </c>
    </row>
    <row r="322" spans="2:5" x14ac:dyDescent="0.25">
      <c r="B322" s="35">
        <v>82.75</v>
      </c>
      <c r="C322" s="123">
        <v>0</v>
      </c>
      <c r="D322" s="36">
        <v>-0.38203564550000002</v>
      </c>
      <c r="E322" s="36">
        <v>0.27444193500000003</v>
      </c>
    </row>
    <row r="323" spans="2:5" x14ac:dyDescent="0.25">
      <c r="B323" s="35">
        <v>83</v>
      </c>
      <c r="C323" s="123">
        <v>0</v>
      </c>
      <c r="D323" s="36">
        <v>-0.38478716019999998</v>
      </c>
      <c r="E323" s="36">
        <v>0.27628773620000002</v>
      </c>
    </row>
    <row r="324" spans="2:5" x14ac:dyDescent="0.25">
      <c r="B324" s="35">
        <v>83.25</v>
      </c>
      <c r="C324" s="123">
        <v>0</v>
      </c>
      <c r="D324" s="36">
        <v>-0.38753050770000003</v>
      </c>
      <c r="E324" s="36">
        <v>0.27812844959999999</v>
      </c>
    </row>
    <row r="325" spans="2:5" x14ac:dyDescent="0.25">
      <c r="B325" s="35">
        <v>83.5</v>
      </c>
      <c r="C325" s="123">
        <v>0</v>
      </c>
      <c r="D325" s="36">
        <v>-0.39026571389999998</v>
      </c>
      <c r="E325" s="36">
        <v>0.27996411199999999</v>
      </c>
    </row>
    <row r="326" spans="2:5" x14ac:dyDescent="0.25">
      <c r="B326" s="35">
        <v>83.75</v>
      </c>
      <c r="C326" s="123">
        <v>0</v>
      </c>
      <c r="D326" s="36">
        <v>-0.39299281520000001</v>
      </c>
      <c r="E326" s="36">
        <v>0.2817947502</v>
      </c>
    </row>
    <row r="327" spans="2:5" x14ac:dyDescent="0.25">
      <c r="B327" s="35">
        <v>84</v>
      </c>
      <c r="C327" s="123">
        <v>0</v>
      </c>
      <c r="D327" s="36">
        <v>-0.39571184700000001</v>
      </c>
      <c r="E327" s="36">
        <v>0.28362039100000003</v>
      </c>
    </row>
    <row r="328" spans="2:5" x14ac:dyDescent="0.25">
      <c r="B328" s="35">
        <v>84.25</v>
      </c>
      <c r="C328" s="123">
        <v>0</v>
      </c>
      <c r="D328" s="36">
        <v>-0.39842283969999998</v>
      </c>
      <c r="E328" s="36">
        <v>0.28544106149999998</v>
      </c>
    </row>
    <row r="329" spans="2:5" x14ac:dyDescent="0.25">
      <c r="B329" s="35">
        <v>84.5</v>
      </c>
      <c r="C329" s="123">
        <v>0</v>
      </c>
      <c r="D329" s="36">
        <v>-0.40112581520000001</v>
      </c>
      <c r="E329" s="36">
        <v>0.28725679100000001</v>
      </c>
    </row>
    <row r="330" spans="2:5" x14ac:dyDescent="0.25">
      <c r="B330" s="35">
        <v>84.75</v>
      </c>
      <c r="C330" s="123">
        <v>0</v>
      </c>
      <c r="D330" s="36">
        <v>-0.40382079529999998</v>
      </c>
      <c r="E330" s="36">
        <v>0.28906760660000003</v>
      </c>
    </row>
    <row r="331" spans="2:5" x14ac:dyDescent="0.25">
      <c r="B331" s="35">
        <v>85</v>
      </c>
      <c r="C331" s="123">
        <v>0</v>
      </c>
      <c r="D331" s="36">
        <v>-0.40650780269999998</v>
      </c>
      <c r="E331" s="36">
        <v>0.2908735328</v>
      </c>
    </row>
    <row r="332" spans="2:5" x14ac:dyDescent="0.25">
      <c r="B332" s="35">
        <v>85.25</v>
      </c>
      <c r="C332" s="123">
        <v>0</v>
      </c>
      <c r="D332" s="36">
        <v>-0.40918686069999999</v>
      </c>
      <c r="E332" s="36">
        <v>0.29267458759999998</v>
      </c>
    </row>
    <row r="333" spans="2:5" x14ac:dyDescent="0.25">
      <c r="B333" s="35">
        <v>85.5</v>
      </c>
      <c r="C333" s="123">
        <v>0</v>
      </c>
      <c r="D333" s="36">
        <v>-0.41185799849999999</v>
      </c>
      <c r="E333" s="36">
        <v>0.29447077370000002</v>
      </c>
    </row>
    <row r="334" spans="2:5" x14ac:dyDescent="0.25">
      <c r="B334" s="35">
        <v>85.75</v>
      </c>
      <c r="C334" s="123">
        <v>0</v>
      </c>
      <c r="D334" s="36">
        <v>-0.41452124689999997</v>
      </c>
      <c r="E334" s="36">
        <v>0.29626208999999998</v>
      </c>
    </row>
    <row r="335" spans="2:5" x14ac:dyDescent="0.25">
      <c r="B335" s="35">
        <v>86</v>
      </c>
      <c r="C335" s="123">
        <v>0</v>
      </c>
      <c r="D335" s="36">
        <v>-0.41717663659999998</v>
      </c>
      <c r="E335" s="36">
        <v>0.29804853209999999</v>
      </c>
    </row>
    <row r="336" spans="2:5" x14ac:dyDescent="0.25">
      <c r="B336" s="35">
        <v>86.25</v>
      </c>
      <c r="C336" s="123">
        <v>0</v>
      </c>
      <c r="D336" s="36">
        <v>-0.41982420199999998</v>
      </c>
      <c r="E336" s="36">
        <v>0.29983008900000002</v>
      </c>
    </row>
    <row r="337" spans="2:5" x14ac:dyDescent="0.25">
      <c r="B337" s="35">
        <v>86.5</v>
      </c>
      <c r="C337" s="123">
        <v>0</v>
      </c>
      <c r="D337" s="36">
        <v>-0.42246398880000002</v>
      </c>
      <c r="E337" s="36">
        <v>0.30160673399999999</v>
      </c>
    </row>
    <row r="338" spans="2:5" x14ac:dyDescent="0.25">
      <c r="B338" s="35">
        <v>86.75</v>
      </c>
      <c r="C338" s="123">
        <v>0</v>
      </c>
      <c r="D338" s="36">
        <v>-0.42509604779999999</v>
      </c>
      <c r="E338" s="36">
        <v>0.30337844759999999</v>
      </c>
    </row>
    <row r="339" spans="2:5" x14ac:dyDescent="0.25">
      <c r="B339" s="35">
        <v>87</v>
      </c>
      <c r="C339" s="123">
        <v>0</v>
      </c>
      <c r="D339" s="36">
        <v>-0.42772043050000003</v>
      </c>
      <c r="E339" s="36">
        <v>0.305145216</v>
      </c>
    </row>
    <row r="340" spans="2:5" x14ac:dyDescent="0.25">
      <c r="B340" s="35">
        <v>87.25</v>
      </c>
      <c r="C340" s="123">
        <v>0</v>
      </c>
      <c r="D340" s="36">
        <v>-0.43033719009999999</v>
      </c>
      <c r="E340" s="36">
        <v>0.306907029</v>
      </c>
    </row>
    <row r="341" spans="2:5" x14ac:dyDescent="0.25">
      <c r="B341" s="35">
        <v>87.5</v>
      </c>
      <c r="C341" s="123">
        <v>0</v>
      </c>
      <c r="D341" s="36">
        <v>-0.4329463878</v>
      </c>
      <c r="E341" s="36">
        <v>0.30866389100000002</v>
      </c>
    </row>
    <row r="342" spans="2:5" x14ac:dyDescent="0.25">
      <c r="B342" s="35">
        <v>87.75</v>
      </c>
      <c r="C342" s="123">
        <v>0</v>
      </c>
      <c r="D342" s="36">
        <v>-0.43554808639999998</v>
      </c>
      <c r="E342" s="36">
        <v>0.31041580949999997</v>
      </c>
    </row>
    <row r="343" spans="2:5" x14ac:dyDescent="0.25">
      <c r="B343" s="35">
        <v>88</v>
      </c>
      <c r="C343" s="123">
        <v>0</v>
      </c>
      <c r="D343" s="36">
        <v>-0.43814234800000001</v>
      </c>
      <c r="E343" s="36">
        <v>0.31216279260000002</v>
      </c>
    </row>
    <row r="344" spans="2:5" x14ac:dyDescent="0.25">
      <c r="B344" s="35">
        <v>88.25</v>
      </c>
      <c r="C344" s="123">
        <v>0</v>
      </c>
      <c r="D344" s="36">
        <v>-0.44072923110000001</v>
      </c>
      <c r="E344" s="36">
        <v>0.3139048512</v>
      </c>
    </row>
    <row r="345" spans="2:5" x14ac:dyDescent="0.25">
      <c r="B345" s="35">
        <v>88.5</v>
      </c>
      <c r="C345" s="123">
        <v>0</v>
      </c>
      <c r="D345" s="36">
        <v>-0.44330878210000002</v>
      </c>
      <c r="E345" s="36">
        <v>0.31564200850000002</v>
      </c>
    </row>
    <row r="346" spans="2:5" x14ac:dyDescent="0.25">
      <c r="B346" s="35">
        <v>88.75</v>
      </c>
      <c r="C346" s="123">
        <v>0</v>
      </c>
      <c r="D346" s="36">
        <v>-0.44588104449999999</v>
      </c>
      <c r="E346" s="36">
        <v>0.3173742906</v>
      </c>
    </row>
    <row r="347" spans="2:5" x14ac:dyDescent="0.25">
      <c r="B347" s="35">
        <v>89</v>
      </c>
      <c r="C347" s="123">
        <v>0</v>
      </c>
      <c r="D347" s="36">
        <v>-0.44844606120000002</v>
      </c>
      <c r="E347" s="36">
        <v>0.31910172310000001</v>
      </c>
    </row>
    <row r="348" spans="2:5" x14ac:dyDescent="0.25">
      <c r="B348" s="35">
        <v>89.25</v>
      </c>
      <c r="C348" s="123">
        <v>0</v>
      </c>
      <c r="D348" s="36">
        <v>-0.45100387450000001</v>
      </c>
      <c r="E348" s="36">
        <v>0.32082433040000002</v>
      </c>
    </row>
    <row r="349" spans="2:5" x14ac:dyDescent="0.25">
      <c r="B349" s="35">
        <v>89.5</v>
      </c>
      <c r="C349" s="123">
        <v>0</v>
      </c>
      <c r="D349" s="36">
        <v>-0.4535545258</v>
      </c>
      <c r="E349" s="36">
        <v>0.32254213180000002</v>
      </c>
    </row>
    <row r="350" spans="2:5" x14ac:dyDescent="0.25">
      <c r="B350" s="35">
        <v>89.75</v>
      </c>
      <c r="C350" s="123">
        <v>0</v>
      </c>
      <c r="D350" s="36">
        <v>-0.45609805479999999</v>
      </c>
      <c r="E350" s="36">
        <v>0.32425514439999997</v>
      </c>
    </row>
    <row r="351" spans="2:5" x14ac:dyDescent="0.25">
      <c r="B351" s="35">
        <v>90</v>
      </c>
      <c r="C351" s="123">
        <v>0</v>
      </c>
      <c r="D351" s="36">
        <v>-0.45863449979999998</v>
      </c>
      <c r="E351" s="36">
        <v>0.32596338489999999</v>
      </c>
    </row>
    <row r="352" spans="2:5" x14ac:dyDescent="0.25">
      <c r="B352" s="35">
        <v>90.25</v>
      </c>
      <c r="C352" s="123">
        <v>0</v>
      </c>
      <c r="D352" s="36">
        <v>-0.46116389790000001</v>
      </c>
      <c r="E352" s="36">
        <v>0.32766686909999998</v>
      </c>
    </row>
    <row r="353" spans="2:5" x14ac:dyDescent="0.25">
      <c r="B353" s="35">
        <v>90.5</v>
      </c>
      <c r="C353" s="123">
        <v>0</v>
      </c>
      <c r="D353" s="36">
        <v>-0.46368628449999999</v>
      </c>
      <c r="E353" s="36">
        <v>0.32936561089999999</v>
      </c>
    </row>
    <row r="354" spans="2:5" x14ac:dyDescent="0.25">
      <c r="B354" s="35">
        <v>90.75</v>
      </c>
      <c r="C354" s="123">
        <v>0</v>
      </c>
      <c r="D354" s="36">
        <v>-0.46620169379999998</v>
      </c>
      <c r="E354" s="36">
        <v>0.33105962350000001</v>
      </c>
    </row>
    <row r="355" spans="2:5" x14ac:dyDescent="0.25">
      <c r="B355" s="35">
        <v>91</v>
      </c>
      <c r="C355" s="123">
        <v>0</v>
      </c>
      <c r="D355" s="36">
        <v>-0.46871015999999999</v>
      </c>
      <c r="E355" s="36">
        <v>0.33274892</v>
      </c>
    </row>
    <row r="356" spans="2:5" x14ac:dyDescent="0.25">
      <c r="B356" s="35">
        <v>91.25</v>
      </c>
      <c r="C356" s="123">
        <v>0</v>
      </c>
      <c r="D356" s="36">
        <v>-0.47121171820000002</v>
      </c>
      <c r="E356" s="36">
        <v>0.33443351729999998</v>
      </c>
    </row>
    <row r="357" spans="2:5" x14ac:dyDescent="0.25">
      <c r="B357" s="35">
        <v>91.5</v>
      </c>
      <c r="C357" s="123">
        <v>0</v>
      </c>
      <c r="D357" s="36">
        <v>-0.47370640759999999</v>
      </c>
      <c r="E357" s="36">
        <v>0.33611344739999999</v>
      </c>
    </row>
    <row r="358" spans="2:5" x14ac:dyDescent="0.25">
      <c r="B358" s="35">
        <v>91.75</v>
      </c>
      <c r="C358" s="123">
        <v>0</v>
      </c>
      <c r="D358" s="36">
        <v>-0.4761942683</v>
      </c>
      <c r="E358" s="36">
        <v>0.33778874539999998</v>
      </c>
    </row>
    <row r="359" spans="2:5" x14ac:dyDescent="0.25">
      <c r="B359" s="35">
        <v>92</v>
      </c>
      <c r="C359" s="123">
        <v>0</v>
      </c>
      <c r="D359" s="36">
        <v>-0.47867534</v>
      </c>
      <c r="E359" s="36">
        <v>0.339459446</v>
      </c>
    </row>
    <row r="360" spans="2:5" x14ac:dyDescent="0.25">
      <c r="B360" s="35">
        <v>92.25</v>
      </c>
      <c r="C360" s="123">
        <v>0</v>
      </c>
      <c r="D360" s="36">
        <v>-0.48114966199999998</v>
      </c>
      <c r="E360" s="36">
        <v>0.34112558279999999</v>
      </c>
    </row>
    <row r="361" spans="2:5" x14ac:dyDescent="0.25">
      <c r="B361" s="35">
        <v>92.5</v>
      </c>
      <c r="C361" s="123">
        <v>0</v>
      </c>
      <c r="D361" s="36">
        <v>-0.48361727249999997</v>
      </c>
      <c r="E361" s="36">
        <v>0.34278718390000001</v>
      </c>
    </row>
    <row r="362" spans="2:5" x14ac:dyDescent="0.25">
      <c r="B362" s="35">
        <v>92.75</v>
      </c>
      <c r="C362" s="123">
        <v>0</v>
      </c>
      <c r="D362" s="36">
        <v>-0.48607820899999998</v>
      </c>
      <c r="E362" s="36">
        <v>0.34444427640000003</v>
      </c>
    </row>
    <row r="363" spans="2:5" x14ac:dyDescent="0.25">
      <c r="B363" s="35">
        <v>93</v>
      </c>
      <c r="C363" s="123">
        <v>0</v>
      </c>
      <c r="D363" s="36">
        <v>-0.488532509</v>
      </c>
      <c r="E363" s="36">
        <v>0.34609688709999997</v>
      </c>
    </row>
    <row r="364" spans="2:5" x14ac:dyDescent="0.25">
      <c r="B364" s="35">
        <v>93.25</v>
      </c>
      <c r="C364" s="123">
        <v>0</v>
      </c>
      <c r="D364" s="36">
        <v>-0.49098020949999999</v>
      </c>
      <c r="E364" s="36">
        <v>0.34774504239999998</v>
      </c>
    </row>
    <row r="365" spans="2:5" x14ac:dyDescent="0.25">
      <c r="B365" s="35">
        <v>93.5</v>
      </c>
      <c r="C365" s="123">
        <v>0</v>
      </c>
      <c r="D365" s="36">
        <v>-0.49342134710000002</v>
      </c>
      <c r="E365" s="36">
        <v>0.34938876860000001</v>
      </c>
    </row>
    <row r="366" spans="2:5" x14ac:dyDescent="0.25">
      <c r="B366" s="35">
        <v>93.75</v>
      </c>
      <c r="C366" s="123">
        <v>0</v>
      </c>
      <c r="D366" s="36">
        <v>-0.49585595840000002</v>
      </c>
      <c r="E366" s="36">
        <v>0.3510280918</v>
      </c>
    </row>
    <row r="367" spans="2:5" x14ac:dyDescent="0.25">
      <c r="B367" s="35">
        <v>94</v>
      </c>
      <c r="C367" s="123">
        <v>0</v>
      </c>
      <c r="D367" s="36">
        <v>-0.49828407940000002</v>
      </c>
      <c r="E367" s="36">
        <v>0.35266303780000002</v>
      </c>
    </row>
    <row r="368" spans="2:5" x14ac:dyDescent="0.25">
      <c r="B368" s="35">
        <v>94.25</v>
      </c>
      <c r="C368" s="123">
        <v>0</v>
      </c>
      <c r="D368" s="36">
        <v>-0.50070574590000005</v>
      </c>
      <c r="E368" s="36">
        <v>0.35429363209999998</v>
      </c>
    </row>
    <row r="369" spans="2:5" x14ac:dyDescent="0.25">
      <c r="B369" s="35">
        <v>94.5</v>
      </c>
      <c r="C369" s="123">
        <v>0</v>
      </c>
      <c r="D369" s="36">
        <v>-0.50312099359999995</v>
      </c>
      <c r="E369" s="36">
        <v>0.35591990019999997</v>
      </c>
    </row>
    <row r="370" spans="2:5" x14ac:dyDescent="0.25">
      <c r="B370" s="35">
        <v>94.75</v>
      </c>
      <c r="C370" s="123">
        <v>0</v>
      </c>
      <c r="D370" s="36">
        <v>-0.50552985750000001</v>
      </c>
      <c r="E370" s="36">
        <v>0.35754186719999997</v>
      </c>
    </row>
    <row r="371" spans="2:5" x14ac:dyDescent="0.25">
      <c r="B371" s="35">
        <v>95</v>
      </c>
      <c r="C371" s="123">
        <v>0</v>
      </c>
      <c r="D371" s="36">
        <v>-0.50793237270000002</v>
      </c>
      <c r="E371" s="36">
        <v>0.35915955799999999</v>
      </c>
    </row>
    <row r="372" spans="2:5" x14ac:dyDescent="0.25">
      <c r="B372" s="1"/>
      <c r="C372" s="123">
        <v>0</v>
      </c>
      <c r="D372" s="82">
        <v>-0.51132600159999997</v>
      </c>
      <c r="E372" s="82">
        <v>0.35698966500000001</v>
      </c>
    </row>
    <row r="373" spans="2:5" x14ac:dyDescent="0.25">
      <c r="B373" s="1"/>
    </row>
    <row r="374" spans="2:5" x14ac:dyDescent="0.25">
      <c r="B374" s="1"/>
    </row>
    <row r="375" spans="2:5" x14ac:dyDescent="0.25">
      <c r="B375" s="1"/>
    </row>
    <row r="376" spans="2:5" x14ac:dyDescent="0.25">
      <c r="B376" s="1"/>
    </row>
    <row r="377" spans="2:5" x14ac:dyDescent="0.25">
      <c r="B377" s="1"/>
    </row>
    <row r="378" spans="2:5" x14ac:dyDescent="0.25">
      <c r="B378" s="1"/>
    </row>
    <row r="379" spans="2:5" x14ac:dyDescent="0.25">
      <c r="B379" s="1"/>
    </row>
    <row r="380" spans="2:5" x14ac:dyDescent="0.25">
      <c r="B380" s="1"/>
    </row>
    <row r="381" spans="2:5" x14ac:dyDescent="0.25">
      <c r="B381" s="1"/>
    </row>
    <row r="382" spans="2:5" x14ac:dyDescent="0.25">
      <c r="B382" s="1"/>
    </row>
    <row r="383" spans="2:5" x14ac:dyDescent="0.25">
      <c r="B383" s="1"/>
    </row>
    <row r="384" spans="2:5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</sheetData>
  <mergeCells count="11">
    <mergeCell ref="X3:Y3"/>
    <mergeCell ref="N3:O3"/>
    <mergeCell ref="B1:E1"/>
    <mergeCell ref="G1:O1"/>
    <mergeCell ref="Q1:Y1"/>
    <mergeCell ref="H2:O2"/>
    <mergeCell ref="R2:Y2"/>
    <mergeCell ref="H3:I3"/>
    <mergeCell ref="K3:L3"/>
    <mergeCell ref="R3:S3"/>
    <mergeCell ref="U3:V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8B33-D15F-4B97-8AA2-86DA7A7442D7}">
  <dimension ref="B1:AK380"/>
  <sheetViews>
    <sheetView workbookViewId="0">
      <selection activeCell="S17" sqref="S17"/>
    </sheetView>
  </sheetViews>
  <sheetFormatPr defaultColWidth="9.109375" defaultRowHeight="12" x14ac:dyDescent="0.25"/>
  <cols>
    <col min="1" max="1" width="9.109375" style="1"/>
    <col min="2" max="2" width="6.109375" style="1" customWidth="1"/>
    <col min="3" max="3" width="9.109375" style="1"/>
    <col min="4" max="5" width="9.109375" style="89"/>
    <col min="6" max="6" width="4.33203125" style="1" customWidth="1"/>
    <col min="7" max="7" width="11.5546875" style="1" customWidth="1"/>
    <col min="8" max="8" width="6.109375" style="1" customWidth="1"/>
    <col min="9" max="9" width="8.88671875" style="89" customWidth="1"/>
    <col min="10" max="10" width="8.6640625" style="1" customWidth="1"/>
    <col min="11" max="11" width="8.44140625" style="1" customWidth="1"/>
    <col min="12" max="12" width="12.6640625" style="89" customWidth="1"/>
    <col min="13" max="13" width="9" style="1" customWidth="1"/>
    <col min="14" max="14" width="8.88671875" style="1" customWidth="1"/>
    <col min="15" max="15" width="11.33203125" style="89" customWidth="1"/>
    <col min="16" max="16" width="4.109375" style="1" customWidth="1"/>
    <col min="17" max="17" width="9.109375" style="1"/>
    <col min="18" max="18" width="3.88671875" style="1" customWidth="1"/>
    <col min="19" max="19" width="7.6640625" style="1" customWidth="1"/>
    <col min="20" max="20" width="7" style="1" customWidth="1"/>
    <col min="21" max="21" width="4" style="1" customWidth="1"/>
    <col min="22" max="22" width="9.6640625" style="1" customWidth="1"/>
    <col min="23" max="23" width="7.109375" style="1" customWidth="1"/>
    <col min="24" max="24" width="4.6640625" style="1" customWidth="1"/>
    <col min="25" max="26" width="9.109375" style="1"/>
    <col min="27" max="27" width="4.6640625" style="1" customWidth="1"/>
    <col min="28" max="16384" width="9.109375" style="1"/>
  </cols>
  <sheetData>
    <row r="1" spans="2:37" ht="15.6" thickTop="1" thickBot="1" x14ac:dyDescent="0.35">
      <c r="B1" s="151" t="s">
        <v>159</v>
      </c>
      <c r="C1" s="152"/>
      <c r="D1" s="152"/>
      <c r="E1" s="153"/>
      <c r="F1" s="89"/>
      <c r="G1" s="151" t="s">
        <v>160</v>
      </c>
      <c r="H1" s="152"/>
      <c r="I1" s="152"/>
      <c r="J1" s="152"/>
      <c r="K1" s="152"/>
      <c r="L1" s="152"/>
      <c r="M1" s="152"/>
      <c r="N1" s="152"/>
      <c r="O1" s="153"/>
      <c r="Q1" s="141" t="s">
        <v>158</v>
      </c>
      <c r="R1" s="142"/>
      <c r="S1" s="142"/>
      <c r="T1" s="142"/>
      <c r="U1" s="142"/>
      <c r="V1" s="142"/>
      <c r="W1" s="142"/>
      <c r="X1" s="142"/>
      <c r="Y1" s="143"/>
    </row>
    <row r="2" spans="2:37" ht="15" thickTop="1" x14ac:dyDescent="0.3">
      <c r="B2" s="36" t="s">
        <v>0</v>
      </c>
      <c r="C2" s="36" t="s">
        <v>35</v>
      </c>
      <c r="D2" s="36" t="s">
        <v>33</v>
      </c>
      <c r="E2" s="36" t="s">
        <v>34</v>
      </c>
      <c r="F2" s="89"/>
      <c r="G2" s="93"/>
      <c r="H2" s="154" t="s">
        <v>47</v>
      </c>
      <c r="I2" s="155"/>
      <c r="J2" s="155"/>
      <c r="K2" s="155"/>
      <c r="L2" s="155"/>
      <c r="M2" s="155"/>
      <c r="N2" s="156"/>
      <c r="O2" s="157"/>
      <c r="Q2" s="40"/>
      <c r="R2" s="145" t="s">
        <v>47</v>
      </c>
      <c r="S2" s="145"/>
      <c r="T2" s="145"/>
      <c r="U2" s="145"/>
      <c r="V2" s="145"/>
      <c r="W2" s="145"/>
      <c r="X2" s="145"/>
      <c r="Y2" s="148"/>
      <c r="AB2" s="12"/>
      <c r="AC2" s="12"/>
      <c r="AD2" s="12"/>
      <c r="AE2" s="12"/>
      <c r="AF2" s="12"/>
      <c r="AG2" s="12"/>
      <c r="AI2" s="12"/>
      <c r="AJ2" s="12"/>
      <c r="AK2" s="12"/>
    </row>
    <row r="3" spans="2:37" ht="14.4" x14ac:dyDescent="0.25">
      <c r="B3" s="35">
        <v>3</v>
      </c>
      <c r="C3" s="123">
        <v>0</v>
      </c>
      <c r="D3" s="36">
        <v>-9.3783604600000001E-2</v>
      </c>
      <c r="E3" s="36">
        <v>0.29860818960000002</v>
      </c>
      <c r="G3" s="42"/>
      <c r="H3" s="158" t="s">
        <v>41</v>
      </c>
      <c r="I3" s="159"/>
      <c r="K3" s="160" t="s">
        <v>42</v>
      </c>
      <c r="L3" s="159"/>
      <c r="N3" s="161" t="s">
        <v>43</v>
      </c>
      <c r="O3" s="162"/>
      <c r="Q3" s="41"/>
      <c r="R3" s="149" t="s">
        <v>33</v>
      </c>
      <c r="S3" s="150"/>
      <c r="U3" s="149" t="s">
        <v>34</v>
      </c>
      <c r="V3" s="150"/>
      <c r="X3" s="149" t="s">
        <v>35</v>
      </c>
      <c r="Y3" s="150"/>
      <c r="AB3" s="12"/>
      <c r="AC3" s="12"/>
      <c r="AD3" s="12"/>
      <c r="AE3" s="12"/>
      <c r="AF3" s="12"/>
      <c r="AG3" s="12"/>
      <c r="AI3" s="12"/>
      <c r="AJ3" s="12"/>
      <c r="AK3" s="12"/>
    </row>
    <row r="4" spans="2:37" x14ac:dyDescent="0.25">
      <c r="B4" s="35">
        <v>3.25</v>
      </c>
      <c r="C4" s="123">
        <v>0</v>
      </c>
      <c r="D4" s="36">
        <v>-8.8807991000000003E-2</v>
      </c>
      <c r="E4" s="36">
        <v>0.27845119810000002</v>
      </c>
      <c r="G4" s="48" t="s">
        <v>1</v>
      </c>
      <c r="H4" s="49" t="s">
        <v>2</v>
      </c>
      <c r="I4" s="88">
        <v>-11.2281</v>
      </c>
      <c r="K4" s="51" t="s">
        <v>27</v>
      </c>
      <c r="L4" s="88">
        <v>-2.2963</v>
      </c>
      <c r="N4" s="51" t="s">
        <v>31</v>
      </c>
      <c r="O4" s="102">
        <v>0.94810000000000005</v>
      </c>
      <c r="Q4" s="41" t="s">
        <v>1</v>
      </c>
      <c r="R4" s="43" t="s">
        <v>8</v>
      </c>
      <c r="S4" s="92">
        <v>0.32979999999999998</v>
      </c>
      <c r="T4" s="45"/>
      <c r="U4" s="46" t="s">
        <v>14</v>
      </c>
      <c r="V4" s="92">
        <v>-6.4500000000000002E-2</v>
      </c>
      <c r="W4" s="2"/>
      <c r="X4" s="43" t="s">
        <v>20</v>
      </c>
      <c r="Y4" s="47">
        <v>0</v>
      </c>
      <c r="Z4" s="12"/>
      <c r="AB4" s="12"/>
      <c r="AC4" s="12"/>
      <c r="AD4" s="12"/>
      <c r="AE4" s="12"/>
      <c r="AF4" s="12"/>
      <c r="AG4" s="12"/>
      <c r="AI4" s="12"/>
      <c r="AJ4" s="12"/>
      <c r="AK4" s="12"/>
    </row>
    <row r="5" spans="2:37" x14ac:dyDescent="0.25">
      <c r="B5" s="35">
        <v>3.5</v>
      </c>
      <c r="C5" s="123">
        <v>0</v>
      </c>
      <c r="D5" s="36">
        <v>-8.3625242000000002E-2</v>
      </c>
      <c r="E5" s="36">
        <v>0.25984707309999999</v>
      </c>
      <c r="G5" s="48" t="s">
        <v>49</v>
      </c>
      <c r="H5" s="49" t="s">
        <v>3</v>
      </c>
      <c r="I5" s="88">
        <v>2.4135</v>
      </c>
      <c r="K5" s="52"/>
      <c r="L5" s="92"/>
      <c r="N5" s="51"/>
      <c r="O5" s="88"/>
      <c r="Q5" s="41" t="s">
        <v>67</v>
      </c>
      <c r="R5" s="43" t="s">
        <v>9</v>
      </c>
      <c r="S5" s="88">
        <v>-1.123</v>
      </c>
      <c r="T5" s="45"/>
      <c r="U5" s="46" t="s">
        <v>15</v>
      </c>
      <c r="V5" s="92">
        <v>0.20699999999999999</v>
      </c>
      <c r="X5" s="43" t="s">
        <v>21</v>
      </c>
      <c r="Y5" s="47">
        <v>0</v>
      </c>
      <c r="Z5" s="12"/>
      <c r="AB5" s="12"/>
      <c r="AC5" s="12"/>
      <c r="AD5" s="12"/>
      <c r="AE5" s="12"/>
      <c r="AF5" s="12"/>
      <c r="AG5" s="12"/>
      <c r="AI5" s="12"/>
      <c r="AJ5" s="12"/>
      <c r="AK5" s="12"/>
    </row>
    <row r="6" spans="2:37" ht="13.8" x14ac:dyDescent="0.25">
      <c r="B6" s="35">
        <v>3.75</v>
      </c>
      <c r="C6" s="123">
        <v>0</v>
      </c>
      <c r="D6" s="36">
        <v>-7.8348176699999994E-2</v>
      </c>
      <c r="E6" s="36">
        <v>0.2425203189</v>
      </c>
      <c r="G6" s="48" t="s">
        <v>48</v>
      </c>
      <c r="H6" s="49" t="s">
        <v>4</v>
      </c>
      <c r="I6" s="88">
        <v>8.6499999999999994E-2</v>
      </c>
      <c r="K6" s="51" t="s">
        <v>28</v>
      </c>
      <c r="L6" s="88">
        <v>7.1800000000000003E-2</v>
      </c>
      <c r="N6" s="51" t="s">
        <v>32</v>
      </c>
      <c r="O6" s="121">
        <v>0</v>
      </c>
      <c r="Q6" s="41" t="s">
        <v>68</v>
      </c>
      <c r="R6" s="43" t="s">
        <v>10</v>
      </c>
      <c r="S6" s="92">
        <v>2.8109999999999999</v>
      </c>
      <c r="T6" s="45"/>
      <c r="U6" s="46" t="s">
        <v>16</v>
      </c>
      <c r="V6" s="92">
        <v>-3.0606</v>
      </c>
      <c r="X6" s="43" t="s">
        <v>22</v>
      </c>
      <c r="Y6" s="47">
        <v>0</v>
      </c>
      <c r="Z6" s="12"/>
      <c r="AB6" s="12"/>
      <c r="AC6" s="12"/>
      <c r="AD6" s="12"/>
      <c r="AE6" s="12"/>
      <c r="AF6" s="12"/>
      <c r="AG6" s="12"/>
      <c r="AI6" s="12"/>
      <c r="AJ6" s="12"/>
      <c r="AK6" s="12"/>
    </row>
    <row r="7" spans="2:37" ht="13.8" x14ac:dyDescent="0.25">
      <c r="B7" s="35">
        <v>4</v>
      </c>
      <c r="C7" s="123">
        <v>0</v>
      </c>
      <c r="D7" s="36">
        <v>-7.3135419699999996E-2</v>
      </c>
      <c r="E7" s="36">
        <v>0.22625022389999999</v>
      </c>
      <c r="G7" s="48" t="s">
        <v>50</v>
      </c>
      <c r="H7" s="49" t="s">
        <v>5</v>
      </c>
      <c r="I7" s="88">
        <v>-0.16839999999999999</v>
      </c>
      <c r="K7" s="51" t="s">
        <v>29</v>
      </c>
      <c r="L7" s="88">
        <v>7.9399999999999998E-2</v>
      </c>
      <c r="N7" s="51" t="s">
        <v>26</v>
      </c>
      <c r="O7" s="103" t="s">
        <v>35</v>
      </c>
      <c r="Q7" s="41" t="s">
        <v>69</v>
      </c>
      <c r="R7" s="43" t="s">
        <v>11</v>
      </c>
      <c r="S7" s="92">
        <v>-5.4810999999999996</v>
      </c>
      <c r="T7" s="45"/>
      <c r="U7" s="46" t="s">
        <v>17</v>
      </c>
      <c r="V7" s="92">
        <v>10.390700000000001</v>
      </c>
      <c r="X7" s="43" t="s">
        <v>23</v>
      </c>
      <c r="Y7" s="47">
        <v>0</v>
      </c>
      <c r="Z7" s="12"/>
      <c r="AB7" s="12"/>
      <c r="AC7" s="12"/>
      <c r="AD7" s="12"/>
      <c r="AE7" s="12"/>
      <c r="AF7" s="12"/>
      <c r="AG7" s="12"/>
      <c r="AI7" s="12"/>
      <c r="AJ7" s="12"/>
      <c r="AK7" s="12"/>
    </row>
    <row r="8" spans="2:37" ht="13.8" x14ac:dyDescent="0.25">
      <c r="B8" s="35">
        <v>4.25</v>
      </c>
      <c r="C8" s="123">
        <v>0</v>
      </c>
      <c r="D8" s="36">
        <v>-6.8306670999999999E-2</v>
      </c>
      <c r="E8" s="36">
        <v>0.21088474909999999</v>
      </c>
      <c r="G8" s="48" t="s">
        <v>51</v>
      </c>
      <c r="H8" s="49" t="s">
        <v>6</v>
      </c>
      <c r="I8" s="88">
        <v>-4.0500000000000001E-2</v>
      </c>
      <c r="K8" s="51" t="s">
        <v>30</v>
      </c>
      <c r="L8" s="88">
        <v>-0.46</v>
      </c>
      <c r="N8" s="51"/>
      <c r="O8" s="88"/>
      <c r="Q8" s="41" t="s">
        <v>70</v>
      </c>
      <c r="R8" s="43" t="s">
        <v>12</v>
      </c>
      <c r="S8" s="92">
        <v>3.5964</v>
      </c>
      <c r="T8" s="45"/>
      <c r="U8" s="46" t="s">
        <v>18</v>
      </c>
      <c r="V8" s="92">
        <v>-11.100300000000001</v>
      </c>
      <c r="X8" s="43" t="s">
        <v>24</v>
      </c>
      <c r="Y8" s="47">
        <v>0</v>
      </c>
      <c r="Z8" s="12"/>
      <c r="AE8" s="66"/>
    </row>
    <row r="9" spans="2:37" ht="13.8" x14ac:dyDescent="0.25">
      <c r="B9" s="35">
        <v>4.5</v>
      </c>
      <c r="C9" s="123">
        <v>0</v>
      </c>
      <c r="D9" s="36">
        <v>-6.4228847399999997E-2</v>
      </c>
      <c r="E9" s="36">
        <v>0.19629949729999999</v>
      </c>
      <c r="G9" s="48" t="s">
        <v>52</v>
      </c>
      <c r="H9" s="49" t="s">
        <v>38</v>
      </c>
      <c r="I9" s="88">
        <v>-0.1177</v>
      </c>
      <c r="K9" s="51" t="s">
        <v>44</v>
      </c>
      <c r="L9" s="88">
        <v>3.2500000000000001E-2</v>
      </c>
      <c r="N9" s="51"/>
      <c r="O9" s="88"/>
      <c r="Q9" s="41" t="s">
        <v>71</v>
      </c>
      <c r="R9" s="43" t="s">
        <v>13</v>
      </c>
      <c r="S9" s="92">
        <v>-0.58840000000000003</v>
      </c>
      <c r="T9" s="45"/>
      <c r="U9" s="46" t="s">
        <v>19</v>
      </c>
      <c r="V9" s="92">
        <v>3.9632999999999998</v>
      </c>
      <c r="X9" s="43" t="s">
        <v>25</v>
      </c>
      <c r="Y9" s="47">
        <v>0</v>
      </c>
      <c r="Z9" s="12"/>
      <c r="AE9" s="66"/>
    </row>
    <row r="10" spans="2:37" ht="13.8" x14ac:dyDescent="0.25">
      <c r="B10" s="35">
        <v>4.75</v>
      </c>
      <c r="C10" s="123">
        <v>0</v>
      </c>
      <c r="D10" s="36">
        <v>-6.1063640199999998E-2</v>
      </c>
      <c r="E10" s="36">
        <v>0.1823898266</v>
      </c>
      <c r="G10" s="132" t="s">
        <v>171</v>
      </c>
      <c r="H10" s="51" t="s">
        <v>169</v>
      </c>
      <c r="I10" s="88">
        <v>-8.2500000000000004E-2</v>
      </c>
      <c r="K10" s="51" t="s">
        <v>170</v>
      </c>
      <c r="L10" s="88">
        <v>-5.0299999999999997E-2</v>
      </c>
      <c r="N10" s="51"/>
      <c r="O10" s="88"/>
      <c r="Q10" s="41" t="s">
        <v>72</v>
      </c>
      <c r="R10" s="43"/>
      <c r="S10" s="53"/>
      <c r="U10" s="43"/>
      <c r="V10" s="54"/>
      <c r="X10" s="43" t="s">
        <v>39</v>
      </c>
      <c r="Y10" s="55">
        <v>0</v>
      </c>
      <c r="AE10" s="66"/>
    </row>
    <row r="11" spans="2:37" ht="13.8" x14ac:dyDescent="0.25">
      <c r="B11" s="35">
        <v>5</v>
      </c>
      <c r="C11" s="123">
        <v>0</v>
      </c>
      <c r="D11" s="36">
        <v>-5.8879956999999997E-2</v>
      </c>
      <c r="E11" s="36">
        <v>0.16906174809999999</v>
      </c>
      <c r="G11" s="56"/>
      <c r="H11" s="57"/>
      <c r="I11" s="95" t="s">
        <v>33</v>
      </c>
      <c r="K11" s="59"/>
      <c r="L11" s="95" t="s">
        <v>34</v>
      </c>
      <c r="N11" s="59"/>
      <c r="O11" s="104"/>
      <c r="Q11" s="64" t="s">
        <v>133</v>
      </c>
      <c r="R11" s="61"/>
      <c r="S11" s="62"/>
      <c r="U11" s="61"/>
      <c r="V11" s="62"/>
      <c r="X11" s="61" t="s">
        <v>40</v>
      </c>
      <c r="Y11" s="63">
        <v>0</v>
      </c>
      <c r="AE11" s="66"/>
    </row>
    <row r="12" spans="2:37" x14ac:dyDescent="0.25">
      <c r="B12" s="35">
        <v>5.25</v>
      </c>
      <c r="C12" s="123">
        <v>0</v>
      </c>
      <c r="D12" s="36">
        <v>-5.7761838400000001E-2</v>
      </c>
      <c r="E12" s="36">
        <v>0.15624261740000001</v>
      </c>
      <c r="AE12" s="66"/>
    </row>
    <row r="13" spans="2:37" x14ac:dyDescent="0.25">
      <c r="B13" s="35">
        <v>5.5</v>
      </c>
      <c r="C13" s="123">
        <v>0</v>
      </c>
      <c r="D13" s="36">
        <v>-5.7558003699999999E-2</v>
      </c>
      <c r="E13" s="36">
        <v>0.1438516876</v>
      </c>
      <c r="G13" s="7"/>
      <c r="H13" s="7"/>
      <c r="I13" s="96"/>
      <c r="J13" s="5"/>
      <c r="Q13" s="85"/>
      <c r="R13" s="12"/>
      <c r="S13" s="12"/>
      <c r="T13" s="12"/>
      <c r="U13" s="12"/>
      <c r="V13" s="12"/>
      <c r="W13" s="85"/>
      <c r="Y13" s="12"/>
      <c r="Z13" s="12"/>
      <c r="AA13" s="12"/>
      <c r="AB13" s="12"/>
      <c r="AC13" s="12"/>
      <c r="AD13" s="12"/>
      <c r="AE13" s="12"/>
    </row>
    <row r="14" spans="2:37" x14ac:dyDescent="0.25">
      <c r="B14" s="35">
        <v>5.75</v>
      </c>
      <c r="C14" s="123">
        <v>0</v>
      </c>
      <c r="D14" s="36">
        <v>-5.8062254100000002E-2</v>
      </c>
      <c r="E14" s="36">
        <v>0.1318254308</v>
      </c>
      <c r="G14" s="7"/>
      <c r="H14" s="7"/>
      <c r="I14" s="96"/>
      <c r="J14" s="5"/>
      <c r="N14" s="85"/>
      <c r="Q14" s="85"/>
      <c r="R14" s="12"/>
      <c r="S14" s="12"/>
      <c r="T14" s="12"/>
      <c r="U14" s="12"/>
      <c r="V14" s="12"/>
      <c r="W14" s="85"/>
      <c r="X14" s="12"/>
      <c r="Y14" s="12"/>
      <c r="Z14" s="35"/>
    </row>
    <row r="15" spans="2:37" x14ac:dyDescent="0.25">
      <c r="B15" s="35">
        <v>6</v>
      </c>
      <c r="C15" s="123">
        <v>0</v>
      </c>
      <c r="D15" s="36">
        <v>-5.9115973799999999E-2</v>
      </c>
      <c r="E15" s="36">
        <v>0.12015352999999999</v>
      </c>
      <c r="G15" s="2" t="s">
        <v>46</v>
      </c>
      <c r="H15" s="7"/>
      <c r="I15" s="96"/>
      <c r="J15" s="5"/>
      <c r="N15" s="85"/>
      <c r="Q15" s="85"/>
      <c r="R15" s="35"/>
      <c r="S15" s="35"/>
      <c r="T15" s="35"/>
      <c r="U15" s="35"/>
      <c r="V15" s="12"/>
      <c r="W15" s="85"/>
      <c r="X15" s="12"/>
      <c r="Y15" s="12"/>
      <c r="Z15" s="35"/>
    </row>
    <row r="16" spans="2:37" x14ac:dyDescent="0.25">
      <c r="B16" s="35">
        <v>6.25</v>
      </c>
      <c r="C16" s="123">
        <v>0</v>
      </c>
      <c r="D16" s="36">
        <v>-6.04698995E-2</v>
      </c>
      <c r="E16" s="36">
        <v>0.1088156596</v>
      </c>
      <c r="G16" s="1" t="s">
        <v>74</v>
      </c>
      <c r="H16" s="7"/>
      <c r="I16" s="96"/>
      <c r="J16" s="5"/>
      <c r="N16" s="85"/>
      <c r="Q16" s="85"/>
      <c r="R16" s="35"/>
      <c r="S16" s="35"/>
      <c r="T16" s="35"/>
      <c r="U16" s="35"/>
      <c r="V16" s="12"/>
      <c r="W16" s="85"/>
      <c r="X16" s="12"/>
      <c r="Y16" s="12"/>
      <c r="Z16" s="85"/>
    </row>
    <row r="17" spans="2:26" x14ac:dyDescent="0.25">
      <c r="B17" s="35">
        <v>6.5</v>
      </c>
      <c r="C17" s="123">
        <v>0</v>
      </c>
      <c r="D17" s="36">
        <v>-6.1802133500000002E-2</v>
      </c>
      <c r="E17" s="36">
        <v>9.7785442599999994E-2</v>
      </c>
      <c r="G17" s="1" t="s">
        <v>73</v>
      </c>
      <c r="H17" s="7"/>
      <c r="I17" s="96"/>
      <c r="J17" s="5"/>
      <c r="N17" s="85"/>
      <c r="Q17" s="35"/>
      <c r="R17" s="35"/>
      <c r="S17" s="35"/>
      <c r="T17" s="85"/>
      <c r="U17" s="35"/>
      <c r="V17" s="12"/>
      <c r="W17" s="85"/>
      <c r="X17" s="12"/>
      <c r="Y17" s="12"/>
      <c r="Z17" s="85"/>
    </row>
    <row r="18" spans="2:26" ht="13.8" x14ac:dyDescent="0.25">
      <c r="B18" s="35">
        <v>6.75</v>
      </c>
      <c r="C18" s="123">
        <v>0</v>
      </c>
      <c r="D18" s="36">
        <v>-6.2744997999999996E-2</v>
      </c>
      <c r="E18" s="36">
        <v>8.7058762100000006E-2</v>
      </c>
      <c r="G18" s="1" t="s">
        <v>37</v>
      </c>
      <c r="H18" s="7"/>
      <c r="I18" s="96"/>
      <c r="J18" s="5"/>
      <c r="N18" s="85"/>
      <c r="Q18" s="85"/>
      <c r="R18" s="12"/>
      <c r="S18" s="12"/>
      <c r="T18" s="12"/>
      <c r="U18" s="12"/>
      <c r="V18" s="12"/>
      <c r="W18" s="85"/>
      <c r="X18" s="12"/>
      <c r="Y18" s="12"/>
      <c r="Z18" s="85"/>
    </row>
    <row r="19" spans="2:26" x14ac:dyDescent="0.25">
      <c r="B19" s="35">
        <v>7</v>
      </c>
      <c r="C19" s="123">
        <v>0</v>
      </c>
      <c r="D19" s="36">
        <v>-6.3194187499999999E-2</v>
      </c>
      <c r="E19" s="36">
        <v>7.6644820399999994E-2</v>
      </c>
      <c r="I19" s="96"/>
      <c r="J19" s="5"/>
      <c r="N19" s="85"/>
      <c r="S19" s="35"/>
      <c r="T19" s="85"/>
      <c r="U19" s="12"/>
      <c r="V19" s="12"/>
      <c r="W19" s="12"/>
      <c r="X19" s="12"/>
      <c r="Y19" s="12"/>
      <c r="Z19" s="85"/>
    </row>
    <row r="20" spans="2:26" x14ac:dyDescent="0.25">
      <c r="B20" s="35">
        <v>7.25</v>
      </c>
      <c r="C20" s="123">
        <v>0</v>
      </c>
      <c r="D20" s="36">
        <v>-6.3267303400000002E-2</v>
      </c>
      <c r="E20" s="36">
        <v>6.6530483099999996E-2</v>
      </c>
      <c r="G20" s="1" t="s">
        <v>82</v>
      </c>
      <c r="H20" s="7"/>
      <c r="J20" s="5"/>
      <c r="N20" s="85"/>
      <c r="S20" s="35"/>
      <c r="T20" s="85"/>
      <c r="U20" s="12"/>
      <c r="V20" s="12"/>
      <c r="W20" s="12"/>
      <c r="X20" s="12"/>
      <c r="Y20" s="12"/>
      <c r="Z20" s="85"/>
    </row>
    <row r="21" spans="2:26" x14ac:dyDescent="0.25">
      <c r="B21" s="35">
        <v>7.5</v>
      </c>
      <c r="C21" s="123">
        <v>0</v>
      </c>
      <c r="D21" s="36">
        <v>-6.3125969599999998E-2</v>
      </c>
      <c r="E21" s="36">
        <v>5.67240824E-2</v>
      </c>
      <c r="G21" s="1" t="s">
        <v>81</v>
      </c>
      <c r="H21" s="7"/>
      <c r="I21" s="96"/>
      <c r="J21" s="5"/>
      <c r="N21" s="85"/>
      <c r="S21" s="35"/>
      <c r="T21" s="85"/>
      <c r="U21" s="12"/>
      <c r="V21" s="12"/>
      <c r="W21" s="12"/>
      <c r="X21" s="12"/>
      <c r="Y21" s="12"/>
      <c r="Z21" s="85"/>
    </row>
    <row r="22" spans="2:26" x14ac:dyDescent="0.25">
      <c r="B22" s="35">
        <v>7.75</v>
      </c>
      <c r="C22" s="123">
        <v>0</v>
      </c>
      <c r="D22" s="36">
        <v>-6.2793422299999999E-2</v>
      </c>
      <c r="E22" s="36">
        <v>4.7240883300000001E-2</v>
      </c>
      <c r="G22" s="1" t="s">
        <v>75</v>
      </c>
      <c r="H22" s="1" t="s">
        <v>76</v>
      </c>
      <c r="I22" s="96"/>
      <c r="J22" s="5"/>
      <c r="N22" s="85"/>
      <c r="S22" s="35"/>
      <c r="T22" s="85"/>
      <c r="U22" s="12"/>
      <c r="V22" s="12"/>
      <c r="W22" s="12"/>
      <c r="X22" s="12"/>
      <c r="Y22" s="12"/>
      <c r="Z22" s="85"/>
    </row>
    <row r="23" spans="2:26" x14ac:dyDescent="0.25">
      <c r="B23" s="35">
        <v>8</v>
      </c>
      <c r="C23" s="123">
        <v>0</v>
      </c>
      <c r="D23" s="36">
        <v>-6.2232310499999999E-2</v>
      </c>
      <c r="E23" s="36">
        <v>3.8076359900000002E-2</v>
      </c>
      <c r="G23" s="1" t="s">
        <v>77</v>
      </c>
      <c r="H23" s="1" t="s">
        <v>78</v>
      </c>
      <c r="I23" s="96"/>
      <c r="J23" s="5"/>
      <c r="N23" s="85"/>
      <c r="S23" s="35"/>
      <c r="T23" s="85"/>
      <c r="U23" s="12"/>
      <c r="V23" s="12"/>
      <c r="W23" s="12"/>
      <c r="X23" s="12"/>
      <c r="Y23" s="12"/>
      <c r="Z23" s="85"/>
    </row>
    <row r="24" spans="2:26" x14ac:dyDescent="0.25">
      <c r="B24" s="35">
        <v>8.25</v>
      </c>
      <c r="C24" s="123">
        <v>0</v>
      </c>
      <c r="D24" s="36">
        <v>-6.1308995400000003E-2</v>
      </c>
      <c r="E24" s="36">
        <v>2.9228436300000001E-2</v>
      </c>
      <c r="G24" s="1" t="s">
        <v>79</v>
      </c>
      <c r="H24" s="1" t="s">
        <v>80</v>
      </c>
      <c r="I24" s="96"/>
      <c r="J24" s="5"/>
      <c r="N24" s="85"/>
      <c r="S24" s="35"/>
      <c r="T24" s="85"/>
      <c r="U24" s="12"/>
      <c r="V24" s="12"/>
      <c r="W24" s="12"/>
      <c r="X24" s="12"/>
      <c r="Y24" s="12"/>
      <c r="Z24" s="85"/>
    </row>
    <row r="25" spans="2:26" x14ac:dyDescent="0.25">
      <c r="B25" s="35">
        <v>8.5</v>
      </c>
      <c r="C25" s="123">
        <v>0</v>
      </c>
      <c r="D25" s="36">
        <v>-5.9828929699999998E-2</v>
      </c>
      <c r="E25" s="36">
        <v>2.0722134100000001E-2</v>
      </c>
      <c r="G25" s="1" t="s">
        <v>171</v>
      </c>
      <c r="H25" s="1" t="s">
        <v>172</v>
      </c>
      <c r="I25" s="96"/>
      <c r="J25" s="5"/>
      <c r="N25" s="85"/>
      <c r="S25" s="35"/>
      <c r="T25" s="85"/>
      <c r="U25" s="12"/>
      <c r="V25" s="12"/>
      <c r="W25" s="12"/>
      <c r="X25" s="12"/>
      <c r="Y25" s="12"/>
      <c r="Z25" s="85"/>
    </row>
    <row r="26" spans="2:26" x14ac:dyDescent="0.25">
      <c r="B26" s="35">
        <v>8.75</v>
      </c>
      <c r="C26" s="123">
        <v>0</v>
      </c>
      <c r="D26" s="36">
        <v>-5.7584811200000002E-2</v>
      </c>
      <c r="E26" s="36">
        <v>1.2581436099999999E-2</v>
      </c>
      <c r="J26" s="5"/>
      <c r="N26" s="85"/>
      <c r="S26" s="35"/>
      <c r="T26" s="85"/>
      <c r="U26" s="12"/>
      <c r="V26" s="12"/>
      <c r="W26" s="12"/>
      <c r="X26" s="12"/>
      <c r="Y26" s="12"/>
      <c r="Z26" s="85"/>
    </row>
    <row r="27" spans="2:26" x14ac:dyDescent="0.25">
      <c r="B27" s="35">
        <v>9</v>
      </c>
      <c r="C27" s="123">
        <v>0</v>
      </c>
      <c r="D27" s="36">
        <v>-5.47039057E-2</v>
      </c>
      <c r="E27" s="36">
        <v>4.8446595E-3</v>
      </c>
      <c r="G27" s="11" t="s">
        <v>148</v>
      </c>
      <c r="J27" s="5"/>
      <c r="N27" s="85"/>
      <c r="S27" s="35"/>
      <c r="T27" s="85"/>
      <c r="U27" s="12"/>
      <c r="V27" s="12"/>
      <c r="W27" s="12"/>
      <c r="X27" s="12"/>
      <c r="Y27" s="12"/>
      <c r="Z27" s="85"/>
    </row>
    <row r="28" spans="2:26" x14ac:dyDescent="0.25">
      <c r="B28" s="35">
        <v>9.25</v>
      </c>
      <c r="C28" s="123">
        <v>0</v>
      </c>
      <c r="D28" s="36">
        <v>-5.1475253499999998E-2</v>
      </c>
      <c r="E28" s="36">
        <v>-2.4370167E-3</v>
      </c>
      <c r="G28" s="9" t="s">
        <v>45</v>
      </c>
      <c r="I28" s="96"/>
      <c r="J28" s="5"/>
      <c r="N28" s="85"/>
      <c r="S28" s="35"/>
      <c r="T28" s="85"/>
      <c r="U28" s="12"/>
      <c r="V28" s="12"/>
      <c r="W28" s="12"/>
      <c r="X28" s="12"/>
      <c r="Y28" s="12"/>
      <c r="Z28" s="85"/>
    </row>
    <row r="29" spans="2:26" x14ac:dyDescent="0.25">
      <c r="B29" s="35">
        <v>9.5</v>
      </c>
      <c r="C29" s="123">
        <v>0</v>
      </c>
      <c r="D29" s="36">
        <v>-4.8166774400000001E-2</v>
      </c>
      <c r="E29" s="36">
        <v>-9.2171522999999998E-3</v>
      </c>
      <c r="G29" s="9"/>
      <c r="J29" s="5"/>
      <c r="N29" s="85"/>
      <c r="S29" s="35"/>
      <c r="T29" s="85"/>
      <c r="U29" s="12"/>
      <c r="V29" s="12"/>
      <c r="W29" s="12"/>
      <c r="X29" s="12"/>
      <c r="Y29" s="12"/>
      <c r="Z29" s="85"/>
    </row>
    <row r="30" spans="2:26" x14ac:dyDescent="0.25">
      <c r="B30" s="35">
        <v>9.75</v>
      </c>
      <c r="C30" s="123">
        <v>0</v>
      </c>
      <c r="D30" s="36">
        <v>-4.4925933799999998E-2</v>
      </c>
      <c r="E30" s="36">
        <v>-1.54553878E-2</v>
      </c>
      <c r="G30" s="60" t="s">
        <v>54</v>
      </c>
      <c r="H30" s="5"/>
      <c r="J30" s="5"/>
      <c r="N30" s="85"/>
      <c r="S30" s="35"/>
      <c r="T30" s="85"/>
      <c r="U30" s="12"/>
      <c r="V30" s="12"/>
      <c r="W30" s="12"/>
      <c r="X30" s="12"/>
      <c r="Y30" s="12"/>
      <c r="Z30" s="85"/>
    </row>
    <row r="31" spans="2:26" x14ac:dyDescent="0.25">
      <c r="B31" s="35">
        <v>10</v>
      </c>
      <c r="C31" s="123">
        <v>0</v>
      </c>
      <c r="D31" s="36">
        <v>-4.1820944399999997E-2</v>
      </c>
      <c r="E31" s="36">
        <v>-2.1126748399999999E-2</v>
      </c>
      <c r="G31" s="10" t="s">
        <v>175</v>
      </c>
      <c r="H31" s="5"/>
      <c r="J31" s="5"/>
      <c r="N31" s="85"/>
      <c r="S31" s="35"/>
      <c r="T31" s="85"/>
      <c r="U31" s="12"/>
      <c r="V31" s="12"/>
      <c r="W31" s="12"/>
      <c r="X31" s="12"/>
      <c r="Y31" s="12"/>
      <c r="Z31" s="85"/>
    </row>
    <row r="32" spans="2:26" x14ac:dyDescent="0.25">
      <c r="B32" s="35">
        <v>10.25</v>
      </c>
      <c r="C32" s="123">
        <v>0</v>
      </c>
      <c r="D32" s="36">
        <v>-3.8895798000000002E-2</v>
      </c>
      <c r="E32" s="36">
        <v>-2.6224695700000002E-2</v>
      </c>
      <c r="G32" s="10" t="s">
        <v>53</v>
      </c>
      <c r="H32" s="5"/>
      <c r="J32" s="5"/>
      <c r="N32" s="85"/>
      <c r="S32" s="35"/>
      <c r="T32" s="85"/>
      <c r="U32" s="12"/>
      <c r="V32" s="12"/>
      <c r="W32" s="12"/>
      <c r="X32" s="12"/>
      <c r="Y32" s="12"/>
      <c r="Z32" s="85"/>
    </row>
    <row r="33" spans="2:26" x14ac:dyDescent="0.25">
      <c r="B33" s="35">
        <v>10.5</v>
      </c>
      <c r="C33" s="123">
        <v>0</v>
      </c>
      <c r="D33" s="36">
        <v>-3.6119562000000001E-2</v>
      </c>
      <c r="E33" s="36">
        <v>-3.0765698500000001E-2</v>
      </c>
      <c r="G33" s="1" t="s">
        <v>55</v>
      </c>
      <c r="J33" s="5"/>
      <c r="N33" s="85"/>
      <c r="S33" s="35"/>
      <c r="T33" s="85"/>
      <c r="U33" s="12"/>
      <c r="V33" s="12"/>
      <c r="W33" s="12"/>
      <c r="X33" s="12"/>
      <c r="Y33" s="12"/>
      <c r="Z33" s="85"/>
    </row>
    <row r="34" spans="2:26" x14ac:dyDescent="0.25">
      <c r="B34" s="35">
        <v>10.75</v>
      </c>
      <c r="C34" s="123">
        <v>0</v>
      </c>
      <c r="D34" s="36">
        <v>-3.3437141900000002E-2</v>
      </c>
      <c r="E34" s="36">
        <v>-3.4779766300000001E-2</v>
      </c>
      <c r="J34" s="85"/>
      <c r="N34" s="85"/>
      <c r="S34" s="35"/>
      <c r="T34" s="85"/>
      <c r="U34" s="12"/>
      <c r="V34" s="12"/>
      <c r="W34" s="12"/>
      <c r="X34" s="12"/>
      <c r="Y34" s="12"/>
      <c r="Z34" s="85"/>
    </row>
    <row r="35" spans="2:26" ht="12" customHeight="1" x14ac:dyDescent="0.25">
      <c r="B35" s="35">
        <v>11</v>
      </c>
      <c r="C35" s="123">
        <v>0</v>
      </c>
      <c r="D35" s="36">
        <v>-3.0775014900000001E-2</v>
      </c>
      <c r="E35" s="36">
        <v>-3.8301602300000001E-2</v>
      </c>
      <c r="J35" s="85"/>
      <c r="N35" s="85"/>
      <c r="S35" s="35"/>
      <c r="T35" s="85"/>
      <c r="U35" s="12"/>
      <c r="V35" s="12"/>
      <c r="W35" s="12"/>
      <c r="X35" s="12"/>
      <c r="Y35" s="12"/>
      <c r="Z35" s="85"/>
    </row>
    <row r="36" spans="2:26" x14ac:dyDescent="0.25">
      <c r="B36" s="35">
        <v>11.25</v>
      </c>
      <c r="C36" s="123">
        <v>0</v>
      </c>
      <c r="D36" s="36">
        <v>-2.80244381E-2</v>
      </c>
      <c r="E36" s="36">
        <v>-4.1376478100000003E-2</v>
      </c>
      <c r="J36" s="85"/>
      <c r="S36" s="35"/>
      <c r="T36" s="85"/>
      <c r="U36" s="12"/>
      <c r="V36" s="12"/>
      <c r="W36" s="12"/>
      <c r="X36" s="12"/>
      <c r="Y36" s="12"/>
      <c r="Z36" s="85"/>
    </row>
    <row r="37" spans="2:26" x14ac:dyDescent="0.25">
      <c r="B37" s="35">
        <v>11.5</v>
      </c>
      <c r="C37" s="123">
        <v>0</v>
      </c>
      <c r="D37" s="36">
        <v>-2.5048029499999999E-2</v>
      </c>
      <c r="E37" s="36">
        <v>-4.4053726500000001E-2</v>
      </c>
      <c r="J37" s="85"/>
      <c r="S37" s="35"/>
      <c r="Y37" s="35"/>
    </row>
    <row r="38" spans="2:26" x14ac:dyDescent="0.25">
      <c r="B38" s="35">
        <v>11.75</v>
      </c>
      <c r="C38" s="123">
        <v>0</v>
      </c>
      <c r="D38" s="36">
        <v>-2.1694571900000001E-2</v>
      </c>
      <c r="E38" s="36">
        <v>-4.6380655E-2</v>
      </c>
      <c r="J38" s="85"/>
      <c r="S38" s="35"/>
      <c r="Y38" s="35"/>
    </row>
    <row r="39" spans="2:26" x14ac:dyDescent="0.25">
      <c r="B39" s="35">
        <v>12</v>
      </c>
      <c r="C39" s="123">
        <v>0</v>
      </c>
      <c r="D39" s="36">
        <v>-1.78332387E-2</v>
      </c>
      <c r="E39" s="36">
        <v>-4.84007958E-2</v>
      </c>
      <c r="I39" s="85"/>
      <c r="J39" s="85"/>
      <c r="K39" s="122"/>
      <c r="S39" s="35"/>
      <c r="Y39" s="35"/>
    </row>
    <row r="40" spans="2:26" x14ac:dyDescent="0.25">
      <c r="B40" s="35">
        <v>12.25</v>
      </c>
      <c r="C40" s="123">
        <v>0</v>
      </c>
      <c r="D40" s="36">
        <v>-1.33771185E-2</v>
      </c>
      <c r="E40" s="36">
        <v>-5.0155446399999998E-2</v>
      </c>
      <c r="H40" s="85"/>
      <c r="I40" s="85"/>
      <c r="J40" s="85"/>
      <c r="K40" s="122"/>
      <c r="Y40" s="35"/>
    </row>
    <row r="41" spans="2:26" x14ac:dyDescent="0.25">
      <c r="B41" s="35">
        <v>12.5</v>
      </c>
      <c r="C41" s="123">
        <v>0</v>
      </c>
      <c r="D41" s="36">
        <v>-8.2914400000000006E-3</v>
      </c>
      <c r="E41" s="36">
        <v>-5.1685691700000001E-2</v>
      </c>
      <c r="H41" s="85"/>
      <c r="I41" s="85"/>
      <c r="J41" s="85"/>
      <c r="K41" s="122"/>
      <c r="Y41" s="35"/>
    </row>
    <row r="42" spans="2:26" x14ac:dyDescent="0.25">
      <c r="B42" s="35">
        <v>12.75</v>
      </c>
      <c r="C42" s="123">
        <v>0</v>
      </c>
      <c r="D42" s="36">
        <v>-2.5514951E-3</v>
      </c>
      <c r="E42" s="36">
        <v>-5.3028596599999998E-2</v>
      </c>
      <c r="H42" s="85"/>
      <c r="I42" s="85"/>
      <c r="J42" s="85"/>
      <c r="K42" s="122"/>
      <c r="Y42" s="35"/>
    </row>
    <row r="43" spans="2:26" x14ac:dyDescent="0.25">
      <c r="B43" s="35">
        <v>13</v>
      </c>
      <c r="C43" s="123">
        <v>0</v>
      </c>
      <c r="D43" s="36">
        <v>3.8413049000000001E-3</v>
      </c>
      <c r="E43" s="36">
        <v>-5.4217507800000002E-2</v>
      </c>
      <c r="H43" s="85"/>
      <c r="I43" s="85"/>
      <c r="J43" s="85"/>
      <c r="K43" s="122"/>
      <c r="Y43" s="35"/>
    </row>
    <row r="44" spans="2:26" x14ac:dyDescent="0.25">
      <c r="B44" s="35">
        <v>13.25</v>
      </c>
      <c r="C44" s="123">
        <v>0</v>
      </c>
      <c r="D44" s="36">
        <v>1.0842486300000001E-2</v>
      </c>
      <c r="E44" s="36">
        <v>-5.5282977699999999E-2</v>
      </c>
      <c r="H44" s="85"/>
      <c r="I44" s="85"/>
      <c r="J44" s="85"/>
      <c r="K44" s="122"/>
      <c r="Y44" s="35"/>
    </row>
    <row r="45" spans="2:26" x14ac:dyDescent="0.25">
      <c r="B45" s="35">
        <v>13.5</v>
      </c>
      <c r="C45" s="123">
        <v>0</v>
      </c>
      <c r="D45" s="36">
        <v>1.8369760299999999E-2</v>
      </c>
      <c r="E45" s="36">
        <v>-5.6252461300000001E-2</v>
      </c>
      <c r="H45" s="85"/>
      <c r="J45" s="85"/>
      <c r="L45" s="97"/>
      <c r="M45" s="11"/>
      <c r="Y45" s="35"/>
    </row>
    <row r="46" spans="2:26" x14ac:dyDescent="0.25">
      <c r="B46" s="35">
        <v>13.75</v>
      </c>
      <c r="C46" s="123">
        <v>0</v>
      </c>
      <c r="D46" s="36">
        <v>2.6323983700000001E-2</v>
      </c>
      <c r="E46" s="36">
        <v>-5.7149571599999997E-2</v>
      </c>
      <c r="J46" s="85"/>
      <c r="L46" s="98"/>
      <c r="M46" s="9"/>
      <c r="Y46" s="35"/>
    </row>
    <row r="47" spans="2:26" x14ac:dyDescent="0.25">
      <c r="B47" s="35">
        <v>14</v>
      </c>
      <c r="C47" s="123">
        <v>0</v>
      </c>
      <c r="D47" s="36">
        <v>3.4610428700000001E-2</v>
      </c>
      <c r="E47" s="36">
        <v>-5.7992253299999998E-2</v>
      </c>
      <c r="J47" s="85"/>
      <c r="L47" s="98"/>
      <c r="M47" s="9"/>
      <c r="Y47" s="35"/>
    </row>
    <row r="48" spans="2:26" x14ac:dyDescent="0.25">
      <c r="B48" s="35">
        <v>14.25</v>
      </c>
      <c r="C48" s="123">
        <v>0</v>
      </c>
      <c r="D48" s="36">
        <v>4.31366641E-2</v>
      </c>
      <c r="E48" s="36">
        <v>-5.8795291100000001E-2</v>
      </c>
      <c r="J48" s="85"/>
      <c r="L48" s="99"/>
      <c r="M48" s="60"/>
      <c r="Y48" s="35"/>
    </row>
    <row r="49" spans="2:29" ht="12" customHeight="1" x14ac:dyDescent="0.25">
      <c r="B49" s="35">
        <v>14.5</v>
      </c>
      <c r="C49" s="123">
        <v>0</v>
      </c>
      <c r="D49" s="36">
        <v>5.18160332E-2</v>
      </c>
      <c r="E49" s="36">
        <v>-5.95716419E-2</v>
      </c>
      <c r="J49" s="85"/>
      <c r="L49" s="100"/>
      <c r="M49" s="10"/>
      <c r="Y49" s="35"/>
    </row>
    <row r="50" spans="2:29" x14ac:dyDescent="0.25">
      <c r="B50" s="35">
        <v>14.75</v>
      </c>
      <c r="C50" s="123">
        <v>0</v>
      </c>
      <c r="D50" s="36">
        <v>6.05600206E-2</v>
      </c>
      <c r="E50" s="36">
        <v>-6.0330697599999997E-2</v>
      </c>
      <c r="J50" s="85"/>
      <c r="L50" s="100"/>
      <c r="M50" s="10"/>
      <c r="Y50" s="35"/>
    </row>
    <row r="51" spans="2:29" x14ac:dyDescent="0.25">
      <c r="B51" s="35">
        <v>15</v>
      </c>
      <c r="C51" s="123">
        <v>0</v>
      </c>
      <c r="D51" s="36">
        <v>6.9270810500000002E-2</v>
      </c>
      <c r="E51" s="36">
        <v>-6.1081087899999997E-2</v>
      </c>
      <c r="H51" s="7"/>
      <c r="J51" s="85"/>
      <c r="Y51" s="35"/>
    </row>
    <row r="52" spans="2:29" x14ac:dyDescent="0.25">
      <c r="B52" s="35">
        <v>15.25</v>
      </c>
      <c r="C52" s="123">
        <v>0</v>
      </c>
      <c r="D52" s="36">
        <v>7.7853239500000004E-2</v>
      </c>
      <c r="E52" s="36">
        <v>-6.18317824E-2</v>
      </c>
      <c r="H52" s="7"/>
      <c r="J52" s="85"/>
      <c r="W52" s="2"/>
      <c r="Y52" s="35"/>
    </row>
    <row r="53" spans="2:29" x14ac:dyDescent="0.25">
      <c r="B53" s="35">
        <v>15.5</v>
      </c>
      <c r="C53" s="123">
        <v>0</v>
      </c>
      <c r="D53" s="36">
        <v>8.6222448300000004E-2</v>
      </c>
      <c r="E53" s="36">
        <v>-6.2589325799999998E-2</v>
      </c>
      <c r="G53" s="7"/>
      <c r="H53" s="7"/>
      <c r="J53" s="85"/>
      <c r="M53" s="2"/>
      <c r="W53" s="2"/>
      <c r="Y53" s="35"/>
    </row>
    <row r="54" spans="2:29" x14ac:dyDescent="0.25">
      <c r="B54" s="35">
        <v>15.75</v>
      </c>
      <c r="C54" s="123">
        <v>0</v>
      </c>
      <c r="D54" s="36">
        <v>9.4306656500000002E-2</v>
      </c>
      <c r="E54" s="36">
        <v>-6.3356041900000007E-2</v>
      </c>
      <c r="H54" s="5"/>
      <c r="J54" s="85"/>
      <c r="W54" s="2"/>
      <c r="Y54" s="35"/>
    </row>
    <row r="55" spans="2:29" x14ac:dyDescent="0.25">
      <c r="B55" s="35">
        <v>16</v>
      </c>
      <c r="C55" s="123">
        <v>0</v>
      </c>
      <c r="D55" s="36">
        <v>0.10204548970000001</v>
      </c>
      <c r="E55" s="36">
        <v>-6.4133211600000004E-2</v>
      </c>
      <c r="H55" s="5"/>
      <c r="J55" s="85"/>
      <c r="W55" s="2"/>
      <c r="Y55" s="35"/>
    </row>
    <row r="56" spans="2:29" x14ac:dyDescent="0.25">
      <c r="B56" s="35">
        <v>16.25</v>
      </c>
      <c r="C56" s="123">
        <v>0</v>
      </c>
      <c r="D56" s="36">
        <v>0.1093878502</v>
      </c>
      <c r="E56" s="36">
        <v>-6.4921022999999994E-2</v>
      </c>
      <c r="G56" s="7"/>
      <c r="H56" s="7"/>
      <c r="J56" s="85"/>
      <c r="Y56" s="35"/>
    </row>
    <row r="57" spans="2:29" ht="12" customHeight="1" x14ac:dyDescent="0.25">
      <c r="B57" s="35">
        <v>16.5</v>
      </c>
      <c r="C57" s="123">
        <v>0</v>
      </c>
      <c r="D57" s="36">
        <v>0.1162957837</v>
      </c>
      <c r="E57" s="36">
        <v>-6.5718064600000001E-2</v>
      </c>
      <c r="G57" s="15"/>
      <c r="H57" s="16"/>
      <c r="J57" s="85"/>
    </row>
    <row r="58" spans="2:29" x14ac:dyDescent="0.25">
      <c r="B58" s="35">
        <v>16.75</v>
      </c>
      <c r="C58" s="123">
        <v>0</v>
      </c>
      <c r="D58" s="36">
        <v>0.1227424934</v>
      </c>
      <c r="E58" s="36">
        <v>-6.6523056900000002E-2</v>
      </c>
      <c r="G58" s="15"/>
      <c r="H58" s="16"/>
      <c r="J58" s="5"/>
    </row>
    <row r="59" spans="2:29" x14ac:dyDescent="0.25">
      <c r="B59" s="35">
        <v>17</v>
      </c>
      <c r="C59" s="123">
        <v>0</v>
      </c>
      <c r="D59" s="36">
        <v>0.12870916860000001</v>
      </c>
      <c r="E59" s="36">
        <v>-6.7334517400000002E-2</v>
      </c>
      <c r="G59" s="15"/>
      <c r="H59" s="16"/>
      <c r="J59" s="5"/>
    </row>
    <row r="60" spans="2:29" x14ac:dyDescent="0.25">
      <c r="B60" s="35">
        <v>17.25</v>
      </c>
      <c r="C60" s="123">
        <v>0</v>
      </c>
      <c r="D60" s="36">
        <v>0.1341870741</v>
      </c>
      <c r="E60" s="36">
        <v>-6.8150134700000004E-2</v>
      </c>
      <c r="G60" s="15"/>
      <c r="H60" s="16"/>
      <c r="J60" s="5"/>
    </row>
    <row r="61" spans="2:29" x14ac:dyDescent="0.25">
      <c r="B61" s="35">
        <v>17.5</v>
      </c>
      <c r="C61" s="123">
        <v>0</v>
      </c>
      <c r="D61" s="36">
        <v>0.1391890439</v>
      </c>
      <c r="E61" s="36">
        <v>-6.8967288200000004E-2</v>
      </c>
      <c r="G61" s="15"/>
      <c r="H61" s="16"/>
      <c r="J61" s="5"/>
    </row>
    <row r="62" spans="2:29" x14ac:dyDescent="0.25">
      <c r="B62" s="35">
        <v>17.75</v>
      </c>
      <c r="C62" s="123">
        <v>0</v>
      </c>
      <c r="D62" s="36">
        <v>0.14373622289999999</v>
      </c>
      <c r="E62" s="36">
        <v>-6.9783981300000006E-2</v>
      </c>
      <c r="G62" s="15"/>
      <c r="H62" s="16"/>
      <c r="J62" s="5"/>
      <c r="P62" s="26"/>
      <c r="Q62" s="29"/>
      <c r="R62" s="2"/>
      <c r="S62" s="18"/>
      <c r="T62" s="29"/>
      <c r="U62" s="7"/>
      <c r="V62" s="7"/>
      <c r="W62" s="7"/>
      <c r="X62" s="7"/>
      <c r="Y62" s="7"/>
      <c r="Z62" s="7"/>
      <c r="AB62" s="7"/>
      <c r="AC62" s="20"/>
    </row>
    <row r="63" spans="2:29" x14ac:dyDescent="0.25">
      <c r="B63" s="35">
        <v>18</v>
      </c>
      <c r="C63" s="123">
        <v>0</v>
      </c>
      <c r="D63" s="36">
        <v>0.1478490875</v>
      </c>
      <c r="E63" s="36">
        <v>-7.0599103699999999E-2</v>
      </c>
      <c r="G63" s="15"/>
      <c r="H63" s="16"/>
      <c r="J63" s="5"/>
      <c r="L63" s="101"/>
      <c r="M63" s="26"/>
      <c r="N63" s="29"/>
      <c r="P63" s="26"/>
      <c r="Q63" s="29"/>
      <c r="R63" s="2"/>
      <c r="S63" s="18"/>
      <c r="T63" s="29"/>
      <c r="U63" s="7"/>
      <c r="V63" s="7"/>
      <c r="W63" s="7"/>
      <c r="X63" s="7"/>
      <c r="Y63" s="7"/>
      <c r="Z63" s="7"/>
      <c r="AB63" s="7"/>
      <c r="AC63" s="20"/>
    </row>
    <row r="64" spans="2:29" x14ac:dyDescent="0.25">
      <c r="B64" s="35">
        <v>18.25</v>
      </c>
      <c r="C64" s="123">
        <v>0</v>
      </c>
      <c r="D64" s="36">
        <v>0.15154595770000001</v>
      </c>
      <c r="E64" s="36">
        <v>-7.1411384699999997E-2</v>
      </c>
      <c r="G64" s="15"/>
      <c r="H64" s="16"/>
      <c r="J64" s="5"/>
      <c r="L64" s="101"/>
      <c r="M64" s="26"/>
      <c r="N64" s="29"/>
      <c r="P64" s="26"/>
      <c r="Q64" s="29"/>
      <c r="S64" s="18"/>
      <c r="T64" s="29"/>
      <c r="U64" s="7"/>
      <c r="V64" s="7"/>
      <c r="W64" s="7"/>
      <c r="X64" s="7"/>
      <c r="Y64" s="7"/>
      <c r="Z64" s="7"/>
      <c r="AB64" s="7"/>
      <c r="AC64" s="7"/>
    </row>
    <row r="65" spans="2:29" x14ac:dyDescent="0.25">
      <c r="B65" s="35">
        <v>18.5</v>
      </c>
      <c r="C65" s="123">
        <v>0</v>
      </c>
      <c r="D65" s="36">
        <v>0.15484673400000001</v>
      </c>
      <c r="E65" s="36">
        <v>-7.2217046500000007E-2</v>
      </c>
      <c r="J65" s="5"/>
      <c r="L65" s="101"/>
      <c r="M65" s="26"/>
      <c r="N65" s="29"/>
      <c r="P65" s="26"/>
      <c r="Q65" s="29"/>
      <c r="S65" s="18"/>
      <c r="T65" s="29"/>
      <c r="U65" s="7"/>
      <c r="V65" s="7"/>
      <c r="W65" s="7"/>
      <c r="X65" s="7"/>
      <c r="Y65" s="7"/>
      <c r="Z65" s="7"/>
      <c r="AB65" s="7"/>
      <c r="AC65" s="17"/>
    </row>
    <row r="66" spans="2:29" x14ac:dyDescent="0.25">
      <c r="B66" s="35">
        <v>18.75</v>
      </c>
      <c r="C66" s="123">
        <v>0</v>
      </c>
      <c r="D66" s="36">
        <v>0.15776656929999999</v>
      </c>
      <c r="E66" s="36">
        <v>-7.3011960900000006E-2</v>
      </c>
      <c r="G66" s="7"/>
      <c r="H66" s="7"/>
      <c r="J66" s="5"/>
      <c r="L66" s="101"/>
      <c r="M66" s="26"/>
      <c r="N66" s="29"/>
      <c r="P66" s="26"/>
      <c r="Q66" s="29"/>
      <c r="S66" s="18"/>
      <c r="T66" s="29"/>
      <c r="U66" s="7"/>
      <c r="V66" s="7"/>
      <c r="W66" s="7"/>
      <c r="X66" s="7"/>
      <c r="Y66" s="7"/>
      <c r="Z66" s="7"/>
    </row>
    <row r="67" spans="2:29" x14ac:dyDescent="0.25">
      <c r="B67" s="35">
        <v>19</v>
      </c>
      <c r="C67" s="123">
        <v>0</v>
      </c>
      <c r="D67" s="36">
        <v>0.16031510939999999</v>
      </c>
      <c r="E67" s="36">
        <v>-7.3792346499999995E-2</v>
      </c>
      <c r="G67" s="15"/>
      <c r="H67" s="16"/>
      <c r="J67" s="5"/>
      <c r="L67" s="101"/>
      <c r="M67" s="26"/>
      <c r="N67" s="29"/>
      <c r="P67" s="26"/>
      <c r="Q67" s="29"/>
      <c r="S67" s="18"/>
      <c r="T67" s="29"/>
      <c r="U67" s="7"/>
      <c r="V67" s="7"/>
      <c r="W67" s="7"/>
      <c r="X67" s="7"/>
      <c r="Y67" s="7"/>
      <c r="Z67" s="7"/>
    </row>
    <row r="68" spans="2:29" x14ac:dyDescent="0.25">
      <c r="B68" s="35">
        <v>19.25</v>
      </c>
      <c r="C68" s="123">
        <v>0</v>
      </c>
      <c r="D68" s="36">
        <v>0.16250392020000001</v>
      </c>
      <c r="E68" s="36">
        <v>-7.4554004399999999E-2</v>
      </c>
      <c r="G68" s="15"/>
      <c r="H68" s="16"/>
      <c r="J68" s="5"/>
      <c r="L68" s="101"/>
      <c r="M68" s="26"/>
      <c r="N68" s="29"/>
      <c r="P68" s="26"/>
      <c r="Q68" s="29"/>
      <c r="S68" s="18"/>
      <c r="T68" s="29"/>
      <c r="U68" s="7"/>
      <c r="V68" s="7"/>
      <c r="W68" s="7"/>
      <c r="X68" s="7"/>
      <c r="Y68" s="7"/>
      <c r="Z68" s="17"/>
    </row>
    <row r="69" spans="2:29" x14ac:dyDescent="0.25">
      <c r="B69" s="35">
        <v>19.5</v>
      </c>
      <c r="C69" s="123">
        <v>0</v>
      </c>
      <c r="D69" s="36">
        <v>0.16435768110000001</v>
      </c>
      <c r="E69" s="36">
        <v>-7.5292208700000002E-2</v>
      </c>
      <c r="G69" s="15"/>
      <c r="H69" s="16"/>
      <c r="J69" s="5"/>
      <c r="L69" s="101"/>
      <c r="M69" s="26"/>
      <c r="N69" s="29"/>
      <c r="P69" s="26"/>
      <c r="Q69" s="29"/>
      <c r="S69" s="18"/>
      <c r="T69" s="29"/>
      <c r="V69" s="27"/>
      <c r="W69" s="17"/>
    </row>
    <row r="70" spans="2:29" x14ac:dyDescent="0.25">
      <c r="B70" s="35">
        <v>19.75</v>
      </c>
      <c r="C70" s="123">
        <v>0</v>
      </c>
      <c r="D70" s="36">
        <v>0.16590231159999999</v>
      </c>
      <c r="E70" s="36">
        <v>-7.6002234200000005E-2</v>
      </c>
      <c r="G70" s="15"/>
      <c r="H70" s="16"/>
      <c r="J70" s="5"/>
      <c r="L70" s="101"/>
      <c r="M70" s="26"/>
      <c r="N70" s="29"/>
      <c r="P70" s="26"/>
      <c r="Q70" s="29"/>
      <c r="S70" s="18"/>
      <c r="T70" s="29"/>
    </row>
    <row r="71" spans="2:29" ht="12" customHeight="1" x14ac:dyDescent="0.25">
      <c r="B71" s="35">
        <v>20</v>
      </c>
      <c r="C71" s="123">
        <v>0</v>
      </c>
      <c r="D71" s="36">
        <v>0.1671593941</v>
      </c>
      <c r="E71" s="36">
        <v>-7.6679898499999996E-2</v>
      </c>
      <c r="G71" s="15"/>
      <c r="H71" s="16"/>
      <c r="J71" s="5"/>
      <c r="L71" s="101"/>
      <c r="M71" s="26"/>
      <c r="N71" s="29"/>
    </row>
    <row r="72" spans="2:29" x14ac:dyDescent="0.25">
      <c r="B72" s="35">
        <v>20.25</v>
      </c>
      <c r="C72" s="123">
        <v>0</v>
      </c>
      <c r="D72" s="36">
        <v>0.16814983789999999</v>
      </c>
      <c r="E72" s="36">
        <v>-7.7321996700000006E-2</v>
      </c>
      <c r="G72" s="15"/>
      <c r="H72" s="16"/>
      <c r="J72" s="5"/>
    </row>
    <row r="73" spans="2:29" x14ac:dyDescent="0.25">
      <c r="B73" s="35">
        <v>20.5</v>
      </c>
      <c r="C73" s="123">
        <v>0</v>
      </c>
      <c r="D73" s="36">
        <v>0.1688933161</v>
      </c>
      <c r="E73" s="36">
        <v>-7.7927110699999996E-2</v>
      </c>
      <c r="G73" s="15"/>
      <c r="H73" s="16"/>
      <c r="J73" s="5"/>
      <c r="P73" s="7"/>
      <c r="Q73" s="7"/>
    </row>
    <row r="74" spans="2:29" x14ac:dyDescent="0.25">
      <c r="B74" s="35">
        <v>20.75</v>
      </c>
      <c r="C74" s="123">
        <v>0</v>
      </c>
      <c r="D74" s="36">
        <v>0.16941035330000001</v>
      </c>
      <c r="E74" s="36">
        <v>-7.8494306299999997E-2</v>
      </c>
      <c r="G74" s="15"/>
      <c r="H74" s="16"/>
      <c r="J74" s="5"/>
      <c r="O74" s="96"/>
      <c r="P74" s="16"/>
      <c r="Q74" s="16"/>
    </row>
    <row r="75" spans="2:29" x14ac:dyDescent="0.25">
      <c r="B75" s="35">
        <v>21</v>
      </c>
      <c r="C75" s="123">
        <v>0</v>
      </c>
      <c r="D75" s="36">
        <v>0.1697221481</v>
      </c>
      <c r="E75" s="36">
        <v>-7.9022761100000005E-2</v>
      </c>
      <c r="G75" s="7"/>
      <c r="H75" s="7"/>
      <c r="J75" s="5"/>
      <c r="O75" s="105"/>
      <c r="P75" s="16"/>
      <c r="Q75" s="16"/>
    </row>
    <row r="76" spans="2:29" x14ac:dyDescent="0.25">
      <c r="B76" s="35">
        <v>21.25</v>
      </c>
      <c r="C76" s="123">
        <v>0</v>
      </c>
      <c r="D76" s="36">
        <v>0.1698468772</v>
      </c>
      <c r="E76" s="36">
        <v>-7.9511778300000002E-2</v>
      </c>
      <c r="G76" s="15"/>
      <c r="H76" s="16"/>
      <c r="J76" s="5"/>
      <c r="O76" s="105"/>
      <c r="P76" s="16"/>
      <c r="Q76" s="16"/>
    </row>
    <row r="77" spans="2:29" x14ac:dyDescent="0.25">
      <c r="B77" s="35">
        <v>21.5</v>
      </c>
      <c r="C77" s="123">
        <v>0</v>
      </c>
      <c r="D77" s="36">
        <v>0.1697979084</v>
      </c>
      <c r="E77" s="36">
        <v>-7.9961125600000002E-2</v>
      </c>
      <c r="G77" s="15"/>
      <c r="H77" s="16"/>
      <c r="J77" s="5"/>
      <c r="O77" s="105"/>
      <c r="P77" s="16"/>
      <c r="Q77" s="16"/>
    </row>
    <row r="78" spans="2:29" x14ac:dyDescent="0.25">
      <c r="B78" s="35">
        <v>21.75</v>
      </c>
      <c r="C78" s="123">
        <v>0</v>
      </c>
      <c r="D78" s="36">
        <v>0.1695885577</v>
      </c>
      <c r="E78" s="36">
        <v>-8.0370506999999994E-2</v>
      </c>
      <c r="G78" s="15"/>
      <c r="H78" s="16"/>
      <c r="J78" s="5"/>
      <c r="O78" s="105"/>
      <c r="P78" s="16"/>
      <c r="Q78" s="16"/>
    </row>
    <row r="79" spans="2:29" x14ac:dyDescent="0.25">
      <c r="B79" s="35">
        <v>22</v>
      </c>
      <c r="C79" s="123">
        <v>0</v>
      </c>
      <c r="D79" s="36">
        <v>0.16923213989999999</v>
      </c>
      <c r="E79" s="36">
        <v>-8.0739510299999998E-2</v>
      </c>
      <c r="G79" s="15"/>
      <c r="H79" s="16"/>
      <c r="J79" s="5"/>
      <c r="O79" s="105"/>
      <c r="P79" s="16"/>
      <c r="Q79" s="16"/>
    </row>
    <row r="80" spans="2:29" x14ac:dyDescent="0.25">
      <c r="B80" s="35">
        <v>22.25</v>
      </c>
      <c r="C80" s="123">
        <v>0</v>
      </c>
      <c r="D80" s="36">
        <v>0.1687403505</v>
      </c>
      <c r="E80" s="36">
        <v>-8.1067696199999997E-2</v>
      </c>
      <c r="G80" s="15"/>
      <c r="H80" s="16"/>
      <c r="J80" s="5"/>
      <c r="O80" s="105"/>
      <c r="P80" s="16"/>
      <c r="Q80" s="16"/>
    </row>
    <row r="81" spans="2:17" x14ac:dyDescent="0.25">
      <c r="B81" s="35">
        <v>22.5</v>
      </c>
      <c r="C81" s="123">
        <v>0</v>
      </c>
      <c r="D81" s="36">
        <v>0.16812144570000001</v>
      </c>
      <c r="E81" s="36">
        <v>-8.1355440000000001E-2</v>
      </c>
      <c r="G81" s="15"/>
      <c r="H81" s="16"/>
      <c r="J81" s="5"/>
      <c r="O81" s="105"/>
      <c r="P81" s="16"/>
      <c r="Q81" s="16"/>
    </row>
    <row r="82" spans="2:17" x14ac:dyDescent="0.25">
      <c r="B82" s="35">
        <v>22.75</v>
      </c>
      <c r="C82" s="123">
        <v>0</v>
      </c>
      <c r="D82" s="36">
        <v>0.16738525030000001</v>
      </c>
      <c r="E82" s="36">
        <v>-8.1603238999999994E-2</v>
      </c>
      <c r="G82" s="15"/>
      <c r="H82" s="16"/>
      <c r="J82" s="5"/>
      <c r="O82" s="105"/>
      <c r="P82" s="7"/>
      <c r="Q82" s="7"/>
    </row>
    <row r="83" spans="2:17" x14ac:dyDescent="0.25">
      <c r="B83" s="35">
        <v>23</v>
      </c>
      <c r="C83" s="123">
        <v>0</v>
      </c>
      <c r="D83" s="36">
        <v>0.1665432536</v>
      </c>
      <c r="E83" s="36">
        <v>-8.1811388700000001E-2</v>
      </c>
      <c r="G83" s="15"/>
      <c r="H83" s="16"/>
      <c r="J83" s="5"/>
      <c r="O83" s="96"/>
      <c r="P83" s="7"/>
      <c r="Q83" s="7"/>
    </row>
    <row r="84" spans="2:17" x14ac:dyDescent="0.25">
      <c r="B84" s="35">
        <v>23.25</v>
      </c>
      <c r="C84" s="123">
        <v>0</v>
      </c>
      <c r="D84" s="36">
        <v>0.1656067729</v>
      </c>
      <c r="E84" s="36">
        <v>-8.1980428600000002E-2</v>
      </c>
      <c r="H84" s="5"/>
      <c r="O84" s="96"/>
      <c r="P84" s="7"/>
      <c r="Q84" s="7"/>
    </row>
    <row r="85" spans="2:17" ht="12" customHeight="1" x14ac:dyDescent="0.25">
      <c r="B85" s="35">
        <v>23.5</v>
      </c>
      <c r="C85" s="123">
        <v>0</v>
      </c>
      <c r="D85" s="36">
        <v>0.16458468330000001</v>
      </c>
      <c r="E85" s="36">
        <v>-8.2112419500000006E-2</v>
      </c>
      <c r="O85" s="96"/>
      <c r="P85" s="7"/>
      <c r="Q85" s="7"/>
    </row>
    <row r="86" spans="2:17" x14ac:dyDescent="0.25">
      <c r="B86" s="35">
        <v>23.75</v>
      </c>
      <c r="C86" s="123">
        <v>0</v>
      </c>
      <c r="D86" s="36">
        <v>0.1634849843</v>
      </c>
      <c r="E86" s="36">
        <v>-8.2209569100000005E-2</v>
      </c>
      <c r="O86" s="96"/>
      <c r="P86" s="7"/>
      <c r="Q86" s="7"/>
    </row>
    <row r="87" spans="2:17" x14ac:dyDescent="0.25">
      <c r="B87" s="35">
        <v>24</v>
      </c>
      <c r="C87" s="123">
        <v>0</v>
      </c>
      <c r="D87" s="36">
        <v>0.16231568060000001</v>
      </c>
      <c r="E87" s="36">
        <v>-8.2273574700000005E-2</v>
      </c>
      <c r="O87" s="96"/>
      <c r="P87" s="7"/>
      <c r="Q87" s="7"/>
    </row>
    <row r="88" spans="2:17" x14ac:dyDescent="0.25">
      <c r="B88" s="35">
        <v>24.25</v>
      </c>
      <c r="C88" s="123">
        <v>0</v>
      </c>
      <c r="D88" s="36">
        <v>0.16108494400000001</v>
      </c>
      <c r="E88" s="36">
        <v>-8.2305837899999998E-2</v>
      </c>
      <c r="O88" s="96"/>
      <c r="P88" s="16"/>
      <c r="Q88" s="16"/>
    </row>
    <row r="89" spans="2:17" x14ac:dyDescent="0.25">
      <c r="B89" s="35">
        <v>24.5</v>
      </c>
      <c r="C89" s="123">
        <v>0</v>
      </c>
      <c r="D89" s="36">
        <v>0.1597995884</v>
      </c>
      <c r="E89" s="36">
        <v>-8.2307566999999998E-2</v>
      </c>
      <c r="O89" s="105"/>
      <c r="P89" s="16"/>
      <c r="Q89" s="16"/>
    </row>
    <row r="90" spans="2:17" x14ac:dyDescent="0.25">
      <c r="B90" s="35">
        <v>24.75</v>
      </c>
      <c r="C90" s="123">
        <v>0</v>
      </c>
      <c r="D90" s="36">
        <v>0.15846651619999999</v>
      </c>
      <c r="E90" s="36">
        <v>-8.2279760399999999E-2</v>
      </c>
      <c r="O90" s="105"/>
      <c r="P90" s="16"/>
      <c r="Q90" s="16"/>
    </row>
    <row r="91" spans="2:17" x14ac:dyDescent="0.25">
      <c r="B91" s="35">
        <v>25</v>
      </c>
      <c r="C91" s="123">
        <v>0</v>
      </c>
      <c r="D91" s="36">
        <v>0.15709273500000001</v>
      </c>
      <c r="E91" s="36">
        <v>-8.2223419699999994E-2</v>
      </c>
      <c r="O91" s="105"/>
      <c r="P91" s="16"/>
      <c r="Q91" s="16"/>
    </row>
    <row r="92" spans="2:17" x14ac:dyDescent="0.25">
      <c r="B92" s="35">
        <v>25.25</v>
      </c>
      <c r="C92" s="123">
        <v>0</v>
      </c>
      <c r="D92" s="36">
        <v>0.1556845422</v>
      </c>
      <c r="E92" s="36">
        <v>-8.2139630399999997E-2</v>
      </c>
      <c r="O92" s="105"/>
      <c r="P92" s="16"/>
      <c r="Q92" s="16"/>
    </row>
    <row r="93" spans="2:17" x14ac:dyDescent="0.25">
      <c r="B93" s="35">
        <v>25.5</v>
      </c>
      <c r="C93" s="123">
        <v>0</v>
      </c>
      <c r="D93" s="36">
        <v>0.1542467294</v>
      </c>
      <c r="E93" s="36">
        <v>-8.2030014900000003E-2</v>
      </c>
      <c r="O93" s="105"/>
      <c r="P93" s="16"/>
      <c r="Q93" s="16"/>
    </row>
    <row r="94" spans="2:17" x14ac:dyDescent="0.25">
      <c r="B94" s="35">
        <v>25.75</v>
      </c>
      <c r="C94" s="123">
        <v>0</v>
      </c>
      <c r="D94" s="36">
        <v>0.15278250909999999</v>
      </c>
      <c r="E94" s="36">
        <v>-8.1896420499999997E-2</v>
      </c>
      <c r="O94" s="105"/>
      <c r="P94" s="16"/>
      <c r="Q94" s="16"/>
    </row>
    <row r="95" spans="2:17" x14ac:dyDescent="0.25">
      <c r="B95" s="35">
        <v>26</v>
      </c>
      <c r="C95" s="123">
        <v>0</v>
      </c>
      <c r="D95" s="36">
        <v>0.15129344810000001</v>
      </c>
      <c r="E95" s="36">
        <v>-8.1740478000000005E-2</v>
      </c>
      <c r="O95" s="105"/>
      <c r="P95" s="16"/>
      <c r="Q95" s="16"/>
    </row>
    <row r="96" spans="2:17" x14ac:dyDescent="0.25">
      <c r="B96" s="35">
        <v>26.25</v>
      </c>
      <c r="C96" s="123">
        <v>0</v>
      </c>
      <c r="D96" s="36">
        <v>0.149780572</v>
      </c>
      <c r="E96" s="36">
        <v>-8.1563608100000004E-2</v>
      </c>
      <c r="O96" s="105"/>
    </row>
    <row r="97" spans="2:5" x14ac:dyDescent="0.25">
      <c r="B97" s="35">
        <v>26.5</v>
      </c>
      <c r="C97" s="123">
        <v>0</v>
      </c>
      <c r="D97" s="36">
        <v>0.14824417600000001</v>
      </c>
      <c r="E97" s="36">
        <v>-8.1367429800000002E-2</v>
      </c>
    </row>
    <row r="98" spans="2:5" x14ac:dyDescent="0.25">
      <c r="B98" s="35">
        <v>26.75</v>
      </c>
      <c r="C98" s="123">
        <v>0</v>
      </c>
      <c r="D98" s="36">
        <v>0.1466856513</v>
      </c>
      <c r="E98" s="36">
        <v>-8.1153507700000002E-2</v>
      </c>
    </row>
    <row r="99" spans="2:5" x14ac:dyDescent="0.25">
      <c r="B99" s="35">
        <v>27</v>
      </c>
      <c r="C99" s="123">
        <v>0</v>
      </c>
      <c r="D99" s="36">
        <v>0.14510688329999999</v>
      </c>
      <c r="E99" s="36">
        <v>-8.0922953000000006E-2</v>
      </c>
    </row>
    <row r="100" spans="2:5" x14ac:dyDescent="0.25">
      <c r="B100" s="35">
        <v>27.25</v>
      </c>
      <c r="C100" s="123">
        <v>0</v>
      </c>
      <c r="D100" s="36">
        <v>0.1435118121</v>
      </c>
      <c r="E100" s="36">
        <v>-8.0676537199999995E-2</v>
      </c>
    </row>
    <row r="101" spans="2:5" x14ac:dyDescent="0.25">
      <c r="B101" s="35">
        <v>27.5</v>
      </c>
      <c r="C101" s="123">
        <v>0</v>
      </c>
      <c r="D101" s="36">
        <v>0.14190581939999999</v>
      </c>
      <c r="E101" s="36">
        <v>-8.0415114900000001E-2</v>
      </c>
    </row>
    <row r="102" spans="2:5" x14ac:dyDescent="0.25">
      <c r="B102" s="35">
        <v>27.75</v>
      </c>
      <c r="C102" s="123">
        <v>0</v>
      </c>
      <c r="D102" s="36">
        <v>0.14029415549999999</v>
      </c>
      <c r="E102" s="36">
        <v>-8.0139479E-2</v>
      </c>
    </row>
    <row r="103" spans="2:5" x14ac:dyDescent="0.25">
      <c r="B103" s="35">
        <v>28</v>
      </c>
      <c r="C103" s="123">
        <v>0</v>
      </c>
      <c r="D103" s="36">
        <v>0.1386819644</v>
      </c>
      <c r="E103" s="36">
        <v>-7.9850290899999996E-2</v>
      </c>
    </row>
    <row r="104" spans="2:5" x14ac:dyDescent="0.25">
      <c r="B104" s="35">
        <v>28.25</v>
      </c>
      <c r="C104" s="123">
        <v>0</v>
      </c>
      <c r="D104" s="36">
        <v>0.13707322559999999</v>
      </c>
      <c r="E104" s="36">
        <v>-7.9548072600000005E-2</v>
      </c>
    </row>
    <row r="105" spans="2:5" x14ac:dyDescent="0.25">
      <c r="B105" s="35">
        <v>28.5</v>
      </c>
      <c r="C105" s="123">
        <v>0</v>
      </c>
      <c r="D105" s="36">
        <v>0.13546804949999999</v>
      </c>
      <c r="E105" s="36">
        <v>-7.9233251000000005E-2</v>
      </c>
    </row>
    <row r="106" spans="2:5" x14ac:dyDescent="0.25">
      <c r="B106" s="35">
        <v>28.75</v>
      </c>
      <c r="C106" s="123">
        <v>0</v>
      </c>
      <c r="D106" s="36">
        <v>0.13386601679999999</v>
      </c>
      <c r="E106" s="36">
        <v>-7.8906192299999997E-2</v>
      </c>
    </row>
    <row r="107" spans="2:5" x14ac:dyDescent="0.25">
      <c r="B107" s="35">
        <v>29</v>
      </c>
      <c r="C107" s="123">
        <v>0</v>
      </c>
      <c r="D107" s="36">
        <v>0.1322668672</v>
      </c>
      <c r="E107" s="36">
        <v>-7.8567026700000001E-2</v>
      </c>
    </row>
    <row r="108" spans="2:5" x14ac:dyDescent="0.25">
      <c r="B108" s="35">
        <v>29.25</v>
      </c>
      <c r="C108" s="123">
        <v>0</v>
      </c>
      <c r="D108" s="36">
        <v>0.13067015039999999</v>
      </c>
      <c r="E108" s="36">
        <v>-7.8215680600000004E-2</v>
      </c>
    </row>
    <row r="109" spans="2:5" x14ac:dyDescent="0.25">
      <c r="B109" s="35">
        <v>29.5</v>
      </c>
      <c r="C109" s="123">
        <v>0</v>
      </c>
      <c r="D109" s="36">
        <v>0.12907356789999999</v>
      </c>
      <c r="E109" s="36">
        <v>-7.7852039100000006E-2</v>
      </c>
    </row>
    <row r="110" spans="2:5" x14ac:dyDescent="0.25">
      <c r="B110" s="35">
        <v>29.75</v>
      </c>
      <c r="C110" s="123">
        <v>0</v>
      </c>
      <c r="D110" s="36">
        <v>0.1274757765</v>
      </c>
      <c r="E110" s="36">
        <v>-7.7475841300000001E-2</v>
      </c>
    </row>
    <row r="111" spans="2:5" x14ac:dyDescent="0.25">
      <c r="B111" s="35">
        <v>30</v>
      </c>
      <c r="C111" s="123">
        <v>0</v>
      </c>
      <c r="D111" s="36">
        <v>0.1258762122</v>
      </c>
      <c r="E111" s="36">
        <v>-7.7086790599999996E-2</v>
      </c>
    </row>
    <row r="112" spans="2:5" x14ac:dyDescent="0.25">
      <c r="B112" s="35">
        <v>30.25</v>
      </c>
      <c r="C112" s="123">
        <v>0</v>
      </c>
      <c r="D112" s="36">
        <v>0.1242748095</v>
      </c>
      <c r="E112" s="36">
        <v>-7.6684600199999994E-2</v>
      </c>
    </row>
    <row r="113" spans="2:5" x14ac:dyDescent="0.25">
      <c r="B113" s="35">
        <v>30.5</v>
      </c>
      <c r="C113" s="123">
        <v>0</v>
      </c>
      <c r="D113" s="36">
        <v>0.1226714637</v>
      </c>
      <c r="E113" s="36">
        <v>-7.6269194400000004E-2</v>
      </c>
    </row>
    <row r="114" spans="2:5" x14ac:dyDescent="0.25">
      <c r="B114" s="35">
        <v>30.75</v>
      </c>
      <c r="C114" s="123">
        <v>0</v>
      </c>
      <c r="D114" s="36">
        <v>0.121066252</v>
      </c>
      <c r="E114" s="36">
        <v>-7.5840543600000004E-2</v>
      </c>
    </row>
    <row r="115" spans="2:5" x14ac:dyDescent="0.25">
      <c r="B115" s="35">
        <v>31</v>
      </c>
      <c r="C115" s="123">
        <v>0</v>
      </c>
      <c r="D115" s="36">
        <v>0.1194598446</v>
      </c>
      <c r="E115" s="36">
        <v>-7.5398555300000003E-2</v>
      </c>
    </row>
    <row r="116" spans="2:5" x14ac:dyDescent="0.25">
      <c r="B116" s="35">
        <v>31.25</v>
      </c>
      <c r="C116" s="123">
        <v>0</v>
      </c>
      <c r="D116" s="36">
        <v>0.1178533383</v>
      </c>
      <c r="E116" s="36">
        <v>-7.4943136300000004E-2</v>
      </c>
    </row>
    <row r="117" spans="2:5" x14ac:dyDescent="0.25">
      <c r="B117" s="35">
        <v>31.5</v>
      </c>
      <c r="C117" s="123">
        <v>0</v>
      </c>
      <c r="D117" s="36">
        <v>0.116248242</v>
      </c>
      <c r="E117" s="36">
        <v>-7.4474116000000007E-2</v>
      </c>
    </row>
    <row r="118" spans="2:5" x14ac:dyDescent="0.25">
      <c r="B118" s="35">
        <v>31.75</v>
      </c>
      <c r="C118" s="123">
        <v>0</v>
      </c>
      <c r="D118" s="36">
        <v>0.11464614870000001</v>
      </c>
      <c r="E118" s="36">
        <v>-7.3991300600000004E-2</v>
      </c>
    </row>
    <row r="119" spans="2:5" x14ac:dyDescent="0.25">
      <c r="B119" s="35">
        <v>32</v>
      </c>
      <c r="C119" s="123">
        <v>0</v>
      </c>
      <c r="D119" s="36">
        <v>0.1130490031</v>
      </c>
      <c r="E119" s="36">
        <v>-7.3494478599999996E-2</v>
      </c>
    </row>
    <row r="120" spans="2:5" x14ac:dyDescent="0.25">
      <c r="B120" s="35">
        <v>32.25</v>
      </c>
      <c r="C120" s="123">
        <v>0</v>
      </c>
      <c r="D120" s="36">
        <v>0.1114589384</v>
      </c>
      <c r="E120" s="36">
        <v>-7.2983503500000005E-2</v>
      </c>
    </row>
    <row r="121" spans="2:5" x14ac:dyDescent="0.25">
      <c r="B121" s="35">
        <v>32.5</v>
      </c>
      <c r="C121" s="123">
        <v>0</v>
      </c>
      <c r="D121" s="36">
        <v>0.10987666109999999</v>
      </c>
      <c r="E121" s="36">
        <v>-7.2458488700000004E-2</v>
      </c>
    </row>
    <row r="122" spans="2:5" x14ac:dyDescent="0.25">
      <c r="B122" s="35">
        <v>32.75</v>
      </c>
      <c r="C122" s="123">
        <v>0</v>
      </c>
      <c r="D122" s="36">
        <v>0.10830224720000001</v>
      </c>
      <c r="E122" s="36">
        <v>-7.1919654999999999E-2</v>
      </c>
    </row>
    <row r="123" spans="2:5" x14ac:dyDescent="0.25">
      <c r="B123" s="35">
        <v>33</v>
      </c>
      <c r="C123" s="123">
        <v>0</v>
      </c>
      <c r="D123" s="36">
        <v>0.1067358048</v>
      </c>
      <c r="E123" s="36">
        <v>-7.1367276199999996E-2</v>
      </c>
    </row>
    <row r="124" spans="2:5" x14ac:dyDescent="0.25">
      <c r="B124" s="35">
        <v>33.25</v>
      </c>
      <c r="C124" s="123">
        <v>0</v>
      </c>
      <c r="D124" s="36">
        <v>0.1051773309</v>
      </c>
      <c r="E124" s="36">
        <v>-7.0801657200000007E-2</v>
      </c>
    </row>
    <row r="125" spans="2:5" x14ac:dyDescent="0.25">
      <c r="B125" s="35">
        <v>33.5</v>
      </c>
      <c r="C125" s="123">
        <v>0</v>
      </c>
      <c r="D125" s="36">
        <v>0.10362672620000001</v>
      </c>
      <c r="E125" s="36">
        <v>-7.0222949300000004E-2</v>
      </c>
    </row>
    <row r="126" spans="2:5" x14ac:dyDescent="0.25">
      <c r="B126" s="35">
        <v>33.75</v>
      </c>
      <c r="C126" s="123">
        <v>0</v>
      </c>
      <c r="D126" s="36">
        <v>0.10208431</v>
      </c>
      <c r="E126" s="36">
        <v>-6.9631206799999998E-2</v>
      </c>
    </row>
    <row r="127" spans="2:5" x14ac:dyDescent="0.25">
      <c r="B127" s="35">
        <v>34</v>
      </c>
      <c r="C127" s="123">
        <v>0</v>
      </c>
      <c r="D127" s="36">
        <v>0.1005506352</v>
      </c>
      <c r="E127" s="36">
        <v>-6.9026486499999998E-2</v>
      </c>
    </row>
    <row r="128" spans="2:5" x14ac:dyDescent="0.25">
      <c r="B128" s="35">
        <v>34.25</v>
      </c>
      <c r="C128" s="123">
        <v>0</v>
      </c>
      <c r="D128" s="36">
        <v>9.90260684E-2</v>
      </c>
      <c r="E128" s="36">
        <v>-6.8408732E-2</v>
      </c>
    </row>
    <row r="129" spans="2:5" x14ac:dyDescent="0.25">
      <c r="B129" s="35">
        <v>34.5</v>
      </c>
      <c r="C129" s="123">
        <v>0</v>
      </c>
      <c r="D129" s="36">
        <v>9.7509858699999993E-2</v>
      </c>
      <c r="E129" s="36">
        <v>-6.7777846700000005E-2</v>
      </c>
    </row>
    <row r="130" spans="2:5" x14ac:dyDescent="0.25">
      <c r="B130" s="35">
        <v>34.75</v>
      </c>
      <c r="C130" s="123">
        <v>0</v>
      </c>
      <c r="D130" s="36">
        <v>9.6001224299999993E-2</v>
      </c>
      <c r="E130" s="36">
        <v>-6.7133690199999999E-2</v>
      </c>
    </row>
    <row r="131" spans="2:5" x14ac:dyDescent="0.25">
      <c r="B131" s="35">
        <v>35</v>
      </c>
      <c r="C131" s="123">
        <v>0</v>
      </c>
      <c r="D131" s="36">
        <v>9.4499317799999996E-2</v>
      </c>
      <c r="E131" s="36">
        <v>-6.6476164000000004E-2</v>
      </c>
    </row>
    <row r="132" spans="2:5" x14ac:dyDescent="0.25">
      <c r="B132" s="35">
        <v>35.25</v>
      </c>
      <c r="C132" s="123">
        <v>0</v>
      </c>
      <c r="D132" s="36">
        <v>9.30030414E-2</v>
      </c>
      <c r="E132" s="36">
        <v>-6.5805119300000006E-2</v>
      </c>
    </row>
    <row r="133" spans="2:5" x14ac:dyDescent="0.25">
      <c r="B133" s="35">
        <v>35.5</v>
      </c>
      <c r="C133" s="123">
        <v>0</v>
      </c>
      <c r="D133" s="36">
        <v>9.1510553499999994E-2</v>
      </c>
      <c r="E133" s="36">
        <v>-6.5120265900000002E-2</v>
      </c>
    </row>
    <row r="134" spans="2:5" x14ac:dyDescent="0.25">
      <c r="B134" s="35">
        <v>35.75</v>
      </c>
      <c r="C134" s="123">
        <v>0</v>
      </c>
      <c r="D134" s="36">
        <v>9.0020299100000006E-2</v>
      </c>
      <c r="E134" s="36">
        <v>-6.4421302099999994E-2</v>
      </c>
    </row>
    <row r="135" spans="2:5" x14ac:dyDescent="0.25">
      <c r="B135" s="35">
        <v>36</v>
      </c>
      <c r="C135" s="123">
        <v>0</v>
      </c>
      <c r="D135" s="36">
        <v>8.8531508199999998E-2</v>
      </c>
      <c r="E135" s="36">
        <v>-6.3707893000000002E-2</v>
      </c>
    </row>
    <row r="136" spans="2:5" x14ac:dyDescent="0.25">
      <c r="B136" s="35">
        <v>36.25</v>
      </c>
      <c r="C136" s="123">
        <v>0</v>
      </c>
      <c r="D136" s="36">
        <v>8.7043398999999994E-2</v>
      </c>
      <c r="E136" s="36">
        <v>-6.2979684699999997E-2</v>
      </c>
    </row>
    <row r="137" spans="2:5" x14ac:dyDescent="0.25">
      <c r="B137" s="35">
        <v>36.5</v>
      </c>
      <c r="C137" s="123">
        <v>0</v>
      </c>
      <c r="D137" s="36">
        <v>8.5554380400000005E-2</v>
      </c>
      <c r="E137" s="36">
        <v>-6.2236384700000001E-2</v>
      </c>
    </row>
    <row r="138" spans="2:5" x14ac:dyDescent="0.25">
      <c r="B138" s="35">
        <v>36.75</v>
      </c>
      <c r="C138" s="123">
        <v>0</v>
      </c>
      <c r="D138" s="36">
        <v>8.4062882800000002E-2</v>
      </c>
      <c r="E138" s="36">
        <v>-6.1477713099999998E-2</v>
      </c>
    </row>
    <row r="139" spans="2:5" x14ac:dyDescent="0.25">
      <c r="B139" s="35">
        <v>37</v>
      </c>
      <c r="C139" s="123">
        <v>0</v>
      </c>
      <c r="D139" s="36">
        <v>8.2567889300000002E-2</v>
      </c>
      <c r="E139" s="36">
        <v>-6.0703338699999998E-2</v>
      </c>
    </row>
    <row r="140" spans="2:5" x14ac:dyDescent="0.25">
      <c r="B140" s="35">
        <v>37.25</v>
      </c>
      <c r="C140" s="123">
        <v>0</v>
      </c>
      <c r="D140" s="36">
        <v>8.1068576399999995E-2</v>
      </c>
      <c r="E140" s="36">
        <v>-5.9912950100000001E-2</v>
      </c>
    </row>
    <row r="141" spans="2:5" x14ac:dyDescent="0.25">
      <c r="B141" s="35">
        <v>37.5</v>
      </c>
      <c r="C141" s="123">
        <v>0</v>
      </c>
      <c r="D141" s="36">
        <v>7.9564057300000005E-2</v>
      </c>
      <c r="E141" s="36">
        <v>-5.9106385999999997E-2</v>
      </c>
    </row>
    <row r="142" spans="2:5" x14ac:dyDescent="0.25">
      <c r="B142" s="35">
        <v>37.75</v>
      </c>
      <c r="C142" s="123">
        <v>0</v>
      </c>
      <c r="D142" s="36">
        <v>7.8053697500000005E-2</v>
      </c>
      <c r="E142" s="36">
        <v>-5.8283477399999999E-2</v>
      </c>
    </row>
    <row r="143" spans="2:5" x14ac:dyDescent="0.25">
      <c r="B143" s="35">
        <v>38</v>
      </c>
      <c r="C143" s="123">
        <v>0</v>
      </c>
      <c r="D143" s="36">
        <v>7.6537303400000006E-2</v>
      </c>
      <c r="E143" s="36">
        <v>-5.74440144E-2</v>
      </c>
    </row>
    <row r="144" spans="2:5" x14ac:dyDescent="0.25">
      <c r="B144" s="35">
        <v>38.25</v>
      </c>
      <c r="C144" s="123">
        <v>0</v>
      </c>
      <c r="D144" s="36">
        <v>7.5014561600000002E-2</v>
      </c>
      <c r="E144" s="36">
        <v>-5.6587837600000003E-2</v>
      </c>
    </row>
    <row r="145" spans="2:5" x14ac:dyDescent="0.25">
      <c r="B145" s="35">
        <v>38.5</v>
      </c>
      <c r="C145" s="123">
        <v>0</v>
      </c>
      <c r="D145" s="36">
        <v>7.3484844300000005E-2</v>
      </c>
      <c r="E145" s="36">
        <v>-5.5714851199999998E-2</v>
      </c>
    </row>
    <row r="146" spans="2:5" x14ac:dyDescent="0.25">
      <c r="B146" s="35">
        <v>38.75</v>
      </c>
      <c r="C146" s="123">
        <v>0</v>
      </c>
      <c r="D146" s="36">
        <v>7.1947643000000006E-2</v>
      </c>
      <c r="E146" s="36">
        <v>-5.4824971799999997E-2</v>
      </c>
    </row>
    <row r="147" spans="2:5" x14ac:dyDescent="0.25">
      <c r="B147" s="35">
        <v>39</v>
      </c>
      <c r="C147" s="123">
        <v>0</v>
      </c>
      <c r="D147" s="36">
        <v>7.0402478500000004E-2</v>
      </c>
      <c r="E147" s="36">
        <v>-5.39181361E-2</v>
      </c>
    </row>
    <row r="148" spans="2:5" x14ac:dyDescent="0.25">
      <c r="B148" s="35">
        <v>39.25</v>
      </c>
      <c r="C148" s="123">
        <v>0</v>
      </c>
      <c r="D148" s="36">
        <v>6.8848784900000001E-2</v>
      </c>
      <c r="E148" s="36">
        <v>-5.29943067E-2</v>
      </c>
    </row>
    <row r="149" spans="2:5" x14ac:dyDescent="0.25">
      <c r="B149" s="35">
        <v>39.5</v>
      </c>
      <c r="C149" s="123">
        <v>0</v>
      </c>
      <c r="D149" s="36">
        <v>6.7285808500000002E-2</v>
      </c>
      <c r="E149" s="36">
        <v>-5.2053463299999998E-2</v>
      </c>
    </row>
    <row r="150" spans="2:5" x14ac:dyDescent="0.25">
      <c r="B150" s="35">
        <v>39.75</v>
      </c>
      <c r="C150" s="123">
        <v>0</v>
      </c>
      <c r="D150" s="36">
        <v>6.5712784400000002E-2</v>
      </c>
      <c r="E150" s="36">
        <v>-5.1095605400000001E-2</v>
      </c>
    </row>
    <row r="151" spans="2:5" x14ac:dyDescent="0.25">
      <c r="B151" s="35">
        <v>40</v>
      </c>
      <c r="C151" s="123">
        <v>0</v>
      </c>
      <c r="D151" s="36">
        <v>6.4129074300000005E-2</v>
      </c>
      <c r="E151" s="36">
        <v>-5.0120740699999999E-2</v>
      </c>
    </row>
    <row r="152" spans="2:5" x14ac:dyDescent="0.25">
      <c r="B152" s="35">
        <v>40.25</v>
      </c>
      <c r="C152" s="123">
        <v>0</v>
      </c>
      <c r="D152" s="36">
        <v>6.2534133500000005E-2</v>
      </c>
      <c r="E152" s="36">
        <v>-4.91289081E-2</v>
      </c>
    </row>
    <row r="153" spans="2:5" x14ac:dyDescent="0.25">
      <c r="B153" s="35">
        <v>40.5</v>
      </c>
      <c r="C153" s="123">
        <v>0</v>
      </c>
      <c r="D153" s="36">
        <v>6.0927330699999997E-2</v>
      </c>
      <c r="E153" s="36">
        <v>-4.8120171900000001E-2</v>
      </c>
    </row>
    <row r="154" spans="2:5" x14ac:dyDescent="0.25">
      <c r="B154" s="35">
        <v>40.75</v>
      </c>
      <c r="C154" s="123">
        <v>0</v>
      </c>
      <c r="D154" s="36">
        <v>5.9308507400000002E-2</v>
      </c>
      <c r="E154" s="36">
        <v>-4.7094521299999997E-2</v>
      </c>
    </row>
    <row r="155" spans="2:5" x14ac:dyDescent="0.25">
      <c r="B155" s="35">
        <v>41</v>
      </c>
      <c r="C155" s="123">
        <v>0</v>
      </c>
      <c r="D155" s="36">
        <v>5.7677942900000001E-2</v>
      </c>
      <c r="E155" s="36">
        <v>-4.60518829E-2</v>
      </c>
    </row>
    <row r="156" spans="2:5" x14ac:dyDescent="0.25">
      <c r="B156" s="35">
        <v>41.25</v>
      </c>
      <c r="C156" s="123">
        <v>0</v>
      </c>
      <c r="D156" s="36">
        <v>5.6035979999999999E-2</v>
      </c>
      <c r="E156" s="36">
        <v>-4.4992168399999997E-2</v>
      </c>
    </row>
    <row r="157" spans="2:5" x14ac:dyDescent="0.25">
      <c r="B157" s="35">
        <v>41.5</v>
      </c>
      <c r="C157" s="123">
        <v>0</v>
      </c>
      <c r="D157" s="36">
        <v>5.4383030300000003E-2</v>
      </c>
      <c r="E157" s="36">
        <v>-4.3915255600000001E-2</v>
      </c>
    </row>
    <row r="158" spans="2:5" x14ac:dyDescent="0.25">
      <c r="B158" s="35">
        <v>41.75</v>
      </c>
      <c r="C158" s="123">
        <v>0</v>
      </c>
      <c r="D158" s="36">
        <v>5.2719616699999999E-2</v>
      </c>
      <c r="E158" s="36">
        <v>-4.2820982899999999E-2</v>
      </c>
    </row>
    <row r="159" spans="2:5" x14ac:dyDescent="0.25">
      <c r="B159" s="35">
        <v>42</v>
      </c>
      <c r="C159" s="123">
        <v>0</v>
      </c>
      <c r="D159" s="36">
        <v>5.1046568E-2</v>
      </c>
      <c r="E159" s="36">
        <v>-4.1709189299999998E-2</v>
      </c>
    </row>
    <row r="160" spans="2:5" x14ac:dyDescent="0.25">
      <c r="B160" s="35">
        <v>42.25</v>
      </c>
      <c r="C160" s="123">
        <v>0</v>
      </c>
      <c r="D160" s="36">
        <v>4.93647402E-2</v>
      </c>
      <c r="E160" s="36">
        <v>-4.0579773499999999E-2</v>
      </c>
    </row>
    <row r="161" spans="2:5" x14ac:dyDescent="0.25">
      <c r="B161" s="35">
        <v>42.5</v>
      </c>
      <c r="C161" s="123">
        <v>0</v>
      </c>
      <c r="D161" s="36">
        <v>4.7674779700000003E-2</v>
      </c>
      <c r="E161" s="36">
        <v>-3.9432703600000001E-2</v>
      </c>
    </row>
    <row r="162" spans="2:5" x14ac:dyDescent="0.25">
      <c r="B162" s="35">
        <v>42.75</v>
      </c>
      <c r="C162" s="123">
        <v>0</v>
      </c>
      <c r="D162" s="36">
        <v>4.5977212099999998E-2</v>
      </c>
      <c r="E162" s="36">
        <v>-3.8267942399999998E-2</v>
      </c>
    </row>
    <row r="163" spans="2:5" x14ac:dyDescent="0.25">
      <c r="B163" s="35">
        <v>43</v>
      </c>
      <c r="C163" s="123">
        <v>0</v>
      </c>
      <c r="D163" s="36">
        <v>4.4272550100000002E-2</v>
      </c>
      <c r="E163" s="36">
        <v>-3.7085442199999999E-2</v>
      </c>
    </row>
    <row r="164" spans="2:5" x14ac:dyDescent="0.25">
      <c r="B164" s="35">
        <v>43.25</v>
      </c>
      <c r="C164" s="123">
        <v>0</v>
      </c>
      <c r="D164" s="36">
        <v>4.2561205499999998E-2</v>
      </c>
      <c r="E164" s="36">
        <v>-3.5885208199999998E-2</v>
      </c>
    </row>
    <row r="165" spans="2:5" x14ac:dyDescent="0.25">
      <c r="B165" s="35">
        <v>43.5</v>
      </c>
      <c r="C165" s="123">
        <v>0</v>
      </c>
      <c r="D165" s="36">
        <v>4.08431904E-2</v>
      </c>
      <c r="E165" s="36">
        <v>-3.4667482200000002E-2</v>
      </c>
    </row>
    <row r="166" spans="2:5" x14ac:dyDescent="0.25">
      <c r="B166" s="35">
        <v>43.75</v>
      </c>
      <c r="C166" s="123">
        <v>0</v>
      </c>
      <c r="D166" s="36">
        <v>3.9118537699999997E-2</v>
      </c>
      <c r="E166" s="36">
        <v>-3.3432550399999997E-2</v>
      </c>
    </row>
    <row r="167" spans="2:5" x14ac:dyDescent="0.25">
      <c r="B167" s="35">
        <v>44</v>
      </c>
      <c r="C167" s="123">
        <v>0</v>
      </c>
      <c r="D167" s="36">
        <v>3.7387386699999997E-2</v>
      </c>
      <c r="E167" s="36">
        <v>-3.2180687899999998E-2</v>
      </c>
    </row>
    <row r="168" spans="2:5" x14ac:dyDescent="0.25">
      <c r="B168" s="35">
        <v>44.25</v>
      </c>
      <c r="C168" s="123">
        <v>0</v>
      </c>
      <c r="D168" s="36">
        <v>3.5649816600000002E-2</v>
      </c>
      <c r="E168" s="36">
        <v>-3.0912124900000001E-2</v>
      </c>
    </row>
    <row r="169" spans="2:5" x14ac:dyDescent="0.25">
      <c r="B169" s="35">
        <v>44.5</v>
      </c>
      <c r="C169" s="123">
        <v>0</v>
      </c>
      <c r="D169" s="36">
        <v>3.3905480600000003E-2</v>
      </c>
      <c r="E169" s="36">
        <v>-2.9626981300000001E-2</v>
      </c>
    </row>
    <row r="170" spans="2:5" x14ac:dyDescent="0.25">
      <c r="B170" s="35">
        <v>44.75</v>
      </c>
      <c r="C170" s="123">
        <v>0</v>
      </c>
      <c r="D170" s="36">
        <v>3.2153973699999998E-2</v>
      </c>
      <c r="E170" s="36">
        <v>-2.8325361399999999E-2</v>
      </c>
    </row>
    <row r="171" spans="2:5" x14ac:dyDescent="0.25">
      <c r="B171" s="35">
        <v>45</v>
      </c>
      <c r="C171" s="123">
        <v>0</v>
      </c>
      <c r="D171" s="36">
        <v>3.0394992999999999E-2</v>
      </c>
      <c r="E171" s="36">
        <v>-2.7007382699999999E-2</v>
      </c>
    </row>
    <row r="172" spans="2:5" x14ac:dyDescent="0.25">
      <c r="B172" s="35">
        <v>45.25</v>
      </c>
      <c r="C172" s="123">
        <v>0</v>
      </c>
      <c r="D172" s="36">
        <v>2.8628260499999999E-2</v>
      </c>
      <c r="E172" s="36">
        <v>-2.5673170799999999E-2</v>
      </c>
    </row>
    <row r="173" spans="2:5" x14ac:dyDescent="0.25">
      <c r="B173" s="35">
        <v>45.5</v>
      </c>
      <c r="C173" s="123">
        <v>0</v>
      </c>
      <c r="D173" s="36">
        <v>2.6853404000000001E-2</v>
      </c>
      <c r="E173" s="36">
        <v>-2.4322858700000002E-2</v>
      </c>
    </row>
    <row r="174" spans="2:5" x14ac:dyDescent="0.25">
      <c r="B174" s="35">
        <v>45.75</v>
      </c>
      <c r="C174" s="123">
        <v>0</v>
      </c>
      <c r="D174" s="36">
        <v>2.5070017100000001E-2</v>
      </c>
      <c r="E174" s="36">
        <v>-2.29565901E-2</v>
      </c>
    </row>
    <row r="175" spans="2:5" x14ac:dyDescent="0.25">
      <c r="B175" s="35">
        <v>46</v>
      </c>
      <c r="C175" s="123">
        <v>0</v>
      </c>
      <c r="D175" s="36">
        <v>2.3277783199999999E-2</v>
      </c>
      <c r="E175" s="36">
        <v>-2.1574498500000001E-2</v>
      </c>
    </row>
    <row r="176" spans="2:5" x14ac:dyDescent="0.25">
      <c r="B176" s="35">
        <v>46.25</v>
      </c>
      <c r="C176" s="123">
        <v>0</v>
      </c>
      <c r="D176" s="36">
        <v>2.1476706299999999E-2</v>
      </c>
      <c r="E176" s="36">
        <v>-2.0176725E-2</v>
      </c>
    </row>
    <row r="177" spans="2:5" x14ac:dyDescent="0.25">
      <c r="B177" s="35">
        <v>46.5</v>
      </c>
      <c r="C177" s="123">
        <v>0</v>
      </c>
      <c r="D177" s="36">
        <v>1.9666769399999999E-2</v>
      </c>
      <c r="E177" s="36">
        <v>-1.8763577699999999E-2</v>
      </c>
    </row>
    <row r="178" spans="2:5" x14ac:dyDescent="0.25">
      <c r="B178" s="35">
        <v>46.75</v>
      </c>
      <c r="C178" s="123">
        <v>0</v>
      </c>
      <c r="D178" s="36">
        <v>1.7848068200000001E-2</v>
      </c>
      <c r="E178" s="36">
        <v>-1.7335385799999999E-2</v>
      </c>
    </row>
    <row r="179" spans="2:5" x14ac:dyDescent="0.25">
      <c r="B179" s="35">
        <v>47</v>
      </c>
      <c r="C179" s="123">
        <v>0</v>
      </c>
      <c r="D179" s="36">
        <v>1.6020769599999998E-2</v>
      </c>
      <c r="E179" s="36">
        <v>-1.5892462499999999E-2</v>
      </c>
    </row>
    <row r="180" spans="2:5" x14ac:dyDescent="0.25">
      <c r="B180" s="35">
        <v>47.25</v>
      </c>
      <c r="C180" s="123">
        <v>0</v>
      </c>
      <c r="D180" s="36">
        <v>1.4184914599999999E-2</v>
      </c>
      <c r="E180" s="36">
        <v>-1.4435113100000001E-2</v>
      </c>
    </row>
    <row r="181" spans="2:5" x14ac:dyDescent="0.25">
      <c r="B181" s="35">
        <v>47.5</v>
      </c>
      <c r="C181" s="123">
        <v>0</v>
      </c>
      <c r="D181" s="36">
        <v>1.2340227E-2</v>
      </c>
      <c r="E181" s="36">
        <v>-1.2963701899999999E-2</v>
      </c>
    </row>
    <row r="182" spans="2:5" x14ac:dyDescent="0.25">
      <c r="B182" s="35">
        <v>47.75</v>
      </c>
      <c r="C182" s="123">
        <v>0</v>
      </c>
      <c r="D182" s="36">
        <v>1.04864408E-2</v>
      </c>
      <c r="E182" s="36">
        <v>-1.14785974E-2</v>
      </c>
    </row>
    <row r="183" spans="2:5" x14ac:dyDescent="0.25">
      <c r="B183" s="35">
        <v>48</v>
      </c>
      <c r="C183" s="123">
        <v>0</v>
      </c>
      <c r="D183" s="36">
        <v>8.6233608999999999E-3</v>
      </c>
      <c r="E183" s="36">
        <v>-9.9801566999999994E-3</v>
      </c>
    </row>
    <row r="184" spans="2:5" x14ac:dyDescent="0.25">
      <c r="B184" s="35">
        <v>48.25</v>
      </c>
      <c r="C184" s="123">
        <v>0</v>
      </c>
      <c r="D184" s="36">
        <v>6.750781E-3</v>
      </c>
      <c r="E184" s="36">
        <v>-8.4686838999999993E-3</v>
      </c>
    </row>
    <row r="185" spans="2:5" x14ac:dyDescent="0.25">
      <c r="B185" s="35">
        <v>48.5</v>
      </c>
      <c r="C185" s="123">
        <v>0</v>
      </c>
      <c r="D185" s="36">
        <v>4.8683433999999999E-3</v>
      </c>
      <c r="E185" s="36">
        <v>-6.9444025999999999E-3</v>
      </c>
    </row>
    <row r="186" spans="2:5" x14ac:dyDescent="0.25">
      <c r="B186" s="35">
        <v>48.75</v>
      </c>
      <c r="C186" s="123">
        <v>0</v>
      </c>
      <c r="D186" s="36">
        <v>2.9757589000000001E-3</v>
      </c>
      <c r="E186" s="36">
        <v>-5.4075128999999996E-3</v>
      </c>
    </row>
    <row r="187" spans="2:5" x14ac:dyDescent="0.25">
      <c r="B187" s="35">
        <v>49</v>
      </c>
      <c r="C187" s="123">
        <v>0</v>
      </c>
      <c r="D187" s="36">
        <v>1.072775E-3</v>
      </c>
      <c r="E187" s="36">
        <v>-3.8582097999999999E-3</v>
      </c>
    </row>
    <row r="188" spans="2:5" x14ac:dyDescent="0.25">
      <c r="B188" s="35">
        <v>49.25</v>
      </c>
      <c r="C188" s="123">
        <v>0</v>
      </c>
      <c r="D188" s="36">
        <v>-8.4086380000000002E-4</v>
      </c>
      <c r="E188" s="36">
        <v>-2.2967034999999999E-3</v>
      </c>
    </row>
    <row r="189" spans="2:5" x14ac:dyDescent="0.25">
      <c r="B189" s="35">
        <v>49.5</v>
      </c>
      <c r="C189" s="123">
        <v>0</v>
      </c>
      <c r="D189" s="36">
        <v>-2.7653848999999999E-3</v>
      </c>
      <c r="E189" s="36">
        <v>-7.232734E-4</v>
      </c>
    </row>
    <row r="190" spans="2:5" x14ac:dyDescent="0.25">
      <c r="B190" s="35">
        <v>49.75</v>
      </c>
      <c r="C190" s="123">
        <v>0</v>
      </c>
      <c r="D190" s="36">
        <v>-4.7009699999999996E-3</v>
      </c>
      <c r="E190" s="36">
        <v>8.617958E-4</v>
      </c>
    </row>
    <row r="191" spans="2:5" x14ac:dyDescent="0.25">
      <c r="B191" s="35">
        <v>50</v>
      </c>
      <c r="C191" s="123">
        <v>0</v>
      </c>
      <c r="D191" s="36">
        <v>-6.6477057000000001E-3</v>
      </c>
      <c r="E191" s="36">
        <v>2.4582306999999999E-3</v>
      </c>
    </row>
    <row r="192" spans="2:5" x14ac:dyDescent="0.25">
      <c r="B192" s="35">
        <v>50.25</v>
      </c>
      <c r="C192" s="123">
        <v>0</v>
      </c>
      <c r="D192" s="36">
        <v>-8.6054279000000004E-3</v>
      </c>
      <c r="E192" s="36">
        <v>4.0657523999999999E-3</v>
      </c>
    </row>
    <row r="193" spans="2:5" x14ac:dyDescent="0.25">
      <c r="B193" s="35">
        <v>50.5</v>
      </c>
      <c r="C193" s="123">
        <v>0</v>
      </c>
      <c r="D193" s="36">
        <v>-1.0573927800000001E-2</v>
      </c>
      <c r="E193" s="36">
        <v>5.6840142999999999E-3</v>
      </c>
    </row>
    <row r="194" spans="2:5" x14ac:dyDescent="0.25">
      <c r="B194" s="35">
        <v>50.75</v>
      </c>
      <c r="C194" s="123">
        <v>0</v>
      </c>
      <c r="D194" s="36">
        <v>-1.2552984600000001E-2</v>
      </c>
      <c r="E194" s="36">
        <v>7.3126774999999998E-3</v>
      </c>
    </row>
    <row r="195" spans="2:5" x14ac:dyDescent="0.25">
      <c r="B195" s="35">
        <v>51</v>
      </c>
      <c r="C195" s="123">
        <v>0</v>
      </c>
      <c r="D195" s="36">
        <v>-1.45424062E-2</v>
      </c>
      <c r="E195" s="36">
        <v>8.9514282999999997E-3</v>
      </c>
    </row>
    <row r="196" spans="2:5" x14ac:dyDescent="0.25">
      <c r="B196" s="35">
        <v>51.25</v>
      </c>
      <c r="C196" s="123">
        <v>0</v>
      </c>
      <c r="D196" s="36">
        <v>-1.6542061100000002E-2</v>
      </c>
      <c r="E196" s="36">
        <v>1.05999539E-2</v>
      </c>
    </row>
    <row r="197" spans="2:5" x14ac:dyDescent="0.25">
      <c r="B197" s="35">
        <v>51.5</v>
      </c>
      <c r="C197" s="123">
        <v>0</v>
      </c>
      <c r="D197" s="36">
        <v>-1.8552195300000001E-2</v>
      </c>
      <c r="E197" s="36">
        <v>1.22579274E-2</v>
      </c>
    </row>
    <row r="198" spans="2:5" x14ac:dyDescent="0.25">
      <c r="B198" s="35">
        <v>51.75</v>
      </c>
      <c r="C198" s="123">
        <v>0</v>
      </c>
      <c r="D198" s="36">
        <v>-2.05730857E-2</v>
      </c>
      <c r="E198" s="36">
        <v>1.39250178E-2</v>
      </c>
    </row>
    <row r="199" spans="2:5" x14ac:dyDescent="0.25">
      <c r="B199" s="35">
        <v>52</v>
      </c>
      <c r="C199" s="123">
        <v>0</v>
      </c>
      <c r="D199" s="36">
        <v>-2.2604908E-2</v>
      </c>
      <c r="E199" s="36">
        <v>1.56008924E-2</v>
      </c>
    </row>
    <row r="200" spans="2:5" x14ac:dyDescent="0.25">
      <c r="B200" s="35">
        <v>52.25</v>
      </c>
      <c r="C200" s="123">
        <v>0</v>
      </c>
      <c r="D200" s="36">
        <v>-2.4647811700000001E-2</v>
      </c>
      <c r="E200" s="36">
        <v>1.7285219000000001E-2</v>
      </c>
    </row>
    <row r="201" spans="2:5" x14ac:dyDescent="0.25">
      <c r="B201" s="35">
        <v>52.5</v>
      </c>
      <c r="C201" s="123">
        <v>0</v>
      </c>
      <c r="D201" s="36">
        <v>-2.6702065399999999E-2</v>
      </c>
      <c r="E201" s="36">
        <v>1.8977668100000001E-2</v>
      </c>
    </row>
    <row r="202" spans="2:5" x14ac:dyDescent="0.25">
      <c r="B202" s="35">
        <v>52.75</v>
      </c>
      <c r="C202" s="123">
        <v>0</v>
      </c>
      <c r="D202" s="36">
        <v>-2.8767818800000001E-2</v>
      </c>
      <c r="E202" s="36">
        <v>2.0677921200000001E-2</v>
      </c>
    </row>
    <row r="203" spans="2:5" x14ac:dyDescent="0.25">
      <c r="B203" s="35">
        <v>53</v>
      </c>
      <c r="C203" s="123">
        <v>0</v>
      </c>
      <c r="D203" s="36">
        <v>-3.0845243599999999E-2</v>
      </c>
      <c r="E203" s="36">
        <v>2.2385667599999999E-2</v>
      </c>
    </row>
    <row r="204" spans="2:5" x14ac:dyDescent="0.25">
      <c r="B204" s="35">
        <v>53.25</v>
      </c>
      <c r="C204" s="123">
        <v>0</v>
      </c>
      <c r="D204" s="36">
        <v>-3.2934558799999999E-2</v>
      </c>
      <c r="E204" s="36">
        <v>2.41005886E-2</v>
      </c>
    </row>
    <row r="205" spans="2:5" x14ac:dyDescent="0.25">
      <c r="B205" s="35">
        <v>53.5</v>
      </c>
      <c r="C205" s="123">
        <v>0</v>
      </c>
      <c r="D205" s="36">
        <v>-3.5035915199999997E-2</v>
      </c>
      <c r="E205" s="36">
        <v>2.5822354299999999E-2</v>
      </c>
    </row>
    <row r="206" spans="2:5" x14ac:dyDescent="0.25">
      <c r="B206" s="35">
        <v>53.75</v>
      </c>
      <c r="C206" s="123">
        <v>0</v>
      </c>
      <c r="D206" s="36">
        <v>-3.7149368699999998E-2</v>
      </c>
      <c r="E206" s="36">
        <v>2.7550641899999999E-2</v>
      </c>
    </row>
    <row r="207" spans="2:5" x14ac:dyDescent="0.25">
      <c r="B207" s="35">
        <v>54</v>
      </c>
      <c r="C207" s="123">
        <v>0</v>
      </c>
      <c r="D207" s="36">
        <v>-3.9274924699999998E-2</v>
      </c>
      <c r="E207" s="36">
        <v>2.9285142900000002E-2</v>
      </c>
    </row>
    <row r="208" spans="2:5" x14ac:dyDescent="0.25">
      <c r="B208" s="35">
        <v>54.25</v>
      </c>
      <c r="C208" s="123">
        <v>0</v>
      </c>
      <c r="D208" s="36">
        <v>-4.1412661000000003E-2</v>
      </c>
      <c r="E208" s="36">
        <v>3.1025561100000001E-2</v>
      </c>
    </row>
    <row r="209" spans="2:5" x14ac:dyDescent="0.25">
      <c r="B209" s="35">
        <v>54.5</v>
      </c>
      <c r="C209" s="123">
        <v>0</v>
      </c>
      <c r="D209" s="36">
        <v>-4.3562844900000001E-2</v>
      </c>
      <c r="E209" s="36">
        <v>3.2771608200000003E-2</v>
      </c>
    </row>
    <row r="210" spans="2:5" x14ac:dyDescent="0.25">
      <c r="B210" s="35">
        <v>54.75</v>
      </c>
      <c r="C210" s="123">
        <v>0</v>
      </c>
      <c r="D210" s="36">
        <v>-4.5725762699999999E-2</v>
      </c>
      <c r="E210" s="36">
        <v>3.4523011200000002E-2</v>
      </c>
    </row>
    <row r="211" spans="2:5" x14ac:dyDescent="0.25">
      <c r="B211" s="35">
        <v>55</v>
      </c>
      <c r="C211" s="123">
        <v>0</v>
      </c>
      <c r="D211" s="36">
        <v>-4.7901579700000002E-2</v>
      </c>
      <c r="E211" s="36">
        <v>3.6279520900000001E-2</v>
      </c>
    </row>
    <row r="212" spans="2:5" x14ac:dyDescent="0.25">
      <c r="B212" s="35">
        <v>55.25</v>
      </c>
      <c r="C212" s="123">
        <v>0</v>
      </c>
      <c r="D212" s="36">
        <v>-5.0090354900000002E-2</v>
      </c>
      <c r="E212" s="36">
        <v>3.8040911500000003E-2</v>
      </c>
    </row>
    <row r="213" spans="2:5" x14ac:dyDescent="0.25">
      <c r="B213" s="35">
        <v>55.5</v>
      </c>
      <c r="C213" s="123">
        <v>0</v>
      </c>
      <c r="D213" s="36">
        <v>-5.2292222899999997E-2</v>
      </c>
      <c r="E213" s="36">
        <v>3.9806971500000003E-2</v>
      </c>
    </row>
    <row r="214" spans="2:5" x14ac:dyDescent="0.25">
      <c r="B214" s="35">
        <v>55.75</v>
      </c>
      <c r="C214" s="123">
        <v>0</v>
      </c>
      <c r="D214" s="36">
        <v>-5.4507281300000002E-2</v>
      </c>
      <c r="E214" s="36">
        <v>4.1577507100000001E-2</v>
      </c>
    </row>
    <row r="215" spans="2:5" x14ac:dyDescent="0.25">
      <c r="B215" s="35">
        <v>56</v>
      </c>
      <c r="C215" s="123">
        <v>0</v>
      </c>
      <c r="D215" s="36">
        <v>-5.6735557300000003E-2</v>
      </c>
      <c r="E215" s="36">
        <v>4.3352342100000003E-2</v>
      </c>
    </row>
    <row r="216" spans="2:5" x14ac:dyDescent="0.25">
      <c r="B216" s="35">
        <v>56.25</v>
      </c>
      <c r="C216" s="123">
        <v>0</v>
      </c>
      <c r="D216" s="36">
        <v>-5.8977090199999999E-2</v>
      </c>
      <c r="E216" s="36">
        <v>4.5131347199999998E-2</v>
      </c>
    </row>
    <row r="217" spans="2:5" x14ac:dyDescent="0.25">
      <c r="B217" s="35">
        <v>56.5</v>
      </c>
      <c r="C217" s="123">
        <v>0</v>
      </c>
      <c r="D217" s="36">
        <v>-6.1232052799999999E-2</v>
      </c>
      <c r="E217" s="36">
        <v>4.69144082E-2</v>
      </c>
    </row>
    <row r="218" spans="2:5" x14ac:dyDescent="0.25">
      <c r="B218" s="35">
        <v>56.75</v>
      </c>
      <c r="C218" s="123">
        <v>0</v>
      </c>
      <c r="D218" s="36">
        <v>-6.3500607299999998E-2</v>
      </c>
      <c r="E218" s="36">
        <v>4.8701438399999998E-2</v>
      </c>
    </row>
    <row r="219" spans="2:5" x14ac:dyDescent="0.25">
      <c r="B219" s="35">
        <v>57</v>
      </c>
      <c r="C219" s="123">
        <v>0</v>
      </c>
      <c r="D219" s="36">
        <v>-6.5782825899999994E-2</v>
      </c>
      <c r="E219" s="36">
        <v>5.0492373100000001E-2</v>
      </c>
    </row>
    <row r="220" spans="2:5" x14ac:dyDescent="0.25">
      <c r="B220" s="35">
        <v>57.25</v>
      </c>
      <c r="C220" s="123">
        <v>0</v>
      </c>
      <c r="D220" s="36">
        <v>-6.8078696899999999E-2</v>
      </c>
      <c r="E220" s="36">
        <v>5.2287144600000002E-2</v>
      </c>
    </row>
    <row r="221" spans="2:5" x14ac:dyDescent="0.25">
      <c r="B221" s="35">
        <v>57.5</v>
      </c>
      <c r="C221" s="123">
        <v>0</v>
      </c>
      <c r="D221" s="36">
        <v>-7.0388251099999993E-2</v>
      </c>
      <c r="E221" s="36">
        <v>5.4085639999999997E-2</v>
      </c>
    </row>
    <row r="222" spans="2:5" x14ac:dyDescent="0.25">
      <c r="B222" s="35">
        <v>57.75</v>
      </c>
      <c r="C222" s="123">
        <v>0</v>
      </c>
      <c r="D222" s="36">
        <v>-7.2711535699999996E-2</v>
      </c>
      <c r="E222" s="36">
        <v>5.5887737399999998E-2</v>
      </c>
    </row>
    <row r="223" spans="2:5" x14ac:dyDescent="0.25">
      <c r="B223" s="35">
        <v>58</v>
      </c>
      <c r="C223" s="123">
        <v>0</v>
      </c>
      <c r="D223" s="36">
        <v>-7.5048590400000004E-2</v>
      </c>
      <c r="E223" s="36">
        <v>5.76933086E-2</v>
      </c>
    </row>
    <row r="224" spans="2:5" x14ac:dyDescent="0.25">
      <c r="B224" s="35">
        <v>58.25</v>
      </c>
      <c r="C224" s="123">
        <v>0</v>
      </c>
      <c r="D224" s="36">
        <v>-7.7399361E-2</v>
      </c>
      <c r="E224" s="36">
        <v>5.9502211899999997E-2</v>
      </c>
    </row>
    <row r="225" spans="2:5" x14ac:dyDescent="0.25">
      <c r="B225" s="35">
        <v>58.5</v>
      </c>
      <c r="C225" s="123">
        <v>0</v>
      </c>
      <c r="D225" s="36">
        <v>-7.9763591300000006E-2</v>
      </c>
      <c r="E225" s="36">
        <v>6.1314267499999998E-2</v>
      </c>
    </row>
    <row r="226" spans="2:5" x14ac:dyDescent="0.25">
      <c r="B226" s="35">
        <v>58.75</v>
      </c>
      <c r="C226" s="123">
        <v>0</v>
      </c>
      <c r="D226" s="36">
        <v>-8.2140987299999996E-2</v>
      </c>
      <c r="E226" s="36">
        <v>6.3129295599999996E-2</v>
      </c>
    </row>
    <row r="227" spans="2:5" x14ac:dyDescent="0.25">
      <c r="B227" s="35">
        <v>59</v>
      </c>
      <c r="C227" s="123">
        <v>0</v>
      </c>
      <c r="D227" s="36">
        <v>-8.4531215500000007E-2</v>
      </c>
      <c r="E227" s="36">
        <v>6.4947129500000006E-2</v>
      </c>
    </row>
    <row r="228" spans="2:5" x14ac:dyDescent="0.25">
      <c r="B228" s="35">
        <v>59.25</v>
      </c>
      <c r="C228" s="123">
        <v>0</v>
      </c>
      <c r="D228" s="36">
        <v>-8.6933924100000004E-2</v>
      </c>
      <c r="E228" s="36">
        <v>6.6767604699999997E-2</v>
      </c>
    </row>
    <row r="229" spans="2:5" x14ac:dyDescent="0.25">
      <c r="B229" s="35">
        <v>59.5</v>
      </c>
      <c r="C229" s="123">
        <v>0</v>
      </c>
      <c r="D229" s="36">
        <v>-8.9348871100000005E-2</v>
      </c>
      <c r="E229" s="36">
        <v>6.8590551999999999E-2</v>
      </c>
    </row>
    <row r="230" spans="2:5" x14ac:dyDescent="0.25">
      <c r="B230" s="35">
        <v>59.75</v>
      </c>
      <c r="C230" s="123">
        <v>0</v>
      </c>
      <c r="D230" s="36">
        <v>-9.1775823699999995E-2</v>
      </c>
      <c r="E230" s="36">
        <v>7.0415820700000006E-2</v>
      </c>
    </row>
    <row r="231" spans="2:5" x14ac:dyDescent="0.25">
      <c r="B231" s="35">
        <v>60</v>
      </c>
      <c r="C231" s="123">
        <v>0</v>
      </c>
      <c r="D231" s="36">
        <v>-9.4214526899999998E-2</v>
      </c>
      <c r="E231" s="36">
        <v>7.2243301300000007E-2</v>
      </c>
    </row>
    <row r="232" spans="2:5" x14ac:dyDescent="0.25">
      <c r="B232" s="35">
        <v>60.25</v>
      </c>
      <c r="C232" s="123">
        <v>0</v>
      </c>
      <c r="D232" s="36">
        <v>-9.6664646500000007E-2</v>
      </c>
      <c r="E232" s="36">
        <v>7.4072919500000001E-2</v>
      </c>
    </row>
    <row r="233" spans="2:5" x14ac:dyDescent="0.25">
      <c r="B233" s="35">
        <v>60.5</v>
      </c>
      <c r="C233" s="123">
        <v>0</v>
      </c>
      <c r="D233" s="36">
        <v>-9.9125737500000005E-2</v>
      </c>
      <c r="E233" s="36">
        <v>7.5904577099999995E-2</v>
      </c>
    </row>
    <row r="234" spans="2:5" x14ac:dyDescent="0.25">
      <c r="B234" s="35">
        <v>60.75</v>
      </c>
      <c r="C234" s="123">
        <v>0</v>
      </c>
      <c r="D234" s="36">
        <v>-0.1015973137</v>
      </c>
      <c r="E234" s="36">
        <v>7.7738171199999997E-2</v>
      </c>
    </row>
    <row r="235" spans="2:5" x14ac:dyDescent="0.25">
      <c r="B235" s="35">
        <v>61</v>
      </c>
      <c r="C235" s="123">
        <v>0</v>
      </c>
      <c r="D235" s="36">
        <v>-0.1040788765</v>
      </c>
      <c r="E235" s="36">
        <v>7.9573598699999998E-2</v>
      </c>
    </row>
    <row r="236" spans="2:5" x14ac:dyDescent="0.25">
      <c r="B236" s="35">
        <v>61.25</v>
      </c>
      <c r="C236" s="123">
        <v>0</v>
      </c>
      <c r="D236" s="36">
        <v>-0.1065699043</v>
      </c>
      <c r="E236" s="36">
        <v>8.1410748699999994E-2</v>
      </c>
    </row>
    <row r="237" spans="2:5" x14ac:dyDescent="0.25">
      <c r="B237" s="35">
        <v>61.5</v>
      </c>
      <c r="C237" s="123">
        <v>0</v>
      </c>
      <c r="D237" s="36">
        <v>-0.1090697976</v>
      </c>
      <c r="E237" s="36">
        <v>8.32494768E-2</v>
      </c>
    </row>
    <row r="238" spans="2:5" x14ac:dyDescent="0.25">
      <c r="B238" s="35">
        <v>61.75</v>
      </c>
      <c r="C238" s="123">
        <v>0</v>
      </c>
      <c r="D238" s="36">
        <v>-0.11157792969999999</v>
      </c>
      <c r="E238" s="36">
        <v>8.5089646199999994E-2</v>
      </c>
    </row>
    <row r="239" spans="2:5" x14ac:dyDescent="0.25">
      <c r="B239" s="35">
        <v>62</v>
      </c>
      <c r="C239" s="123">
        <v>0</v>
      </c>
      <c r="D239" s="36">
        <v>-0.114093666</v>
      </c>
      <c r="E239" s="36">
        <v>8.6931133600000002E-2</v>
      </c>
    </row>
    <row r="240" spans="2:5" x14ac:dyDescent="0.25">
      <c r="B240" s="35">
        <v>62.25</v>
      </c>
      <c r="C240" s="123">
        <v>0</v>
      </c>
      <c r="D240" s="36">
        <v>-0.1166163507</v>
      </c>
      <c r="E240" s="36">
        <v>8.8773816800000002E-2</v>
      </c>
    </row>
    <row r="241" spans="2:5" x14ac:dyDescent="0.25">
      <c r="B241" s="35">
        <v>62.5</v>
      </c>
      <c r="C241" s="123">
        <v>0</v>
      </c>
      <c r="D241" s="36">
        <v>-0.1191452628</v>
      </c>
      <c r="E241" s="36">
        <v>9.0617559700000003E-2</v>
      </c>
    </row>
    <row r="242" spans="2:5" x14ac:dyDescent="0.25">
      <c r="B242" s="35">
        <v>62.75</v>
      </c>
      <c r="C242" s="123">
        <v>0</v>
      </c>
      <c r="D242" s="36">
        <v>-0.12167969219999999</v>
      </c>
      <c r="E242" s="36">
        <v>9.2462218099999993E-2</v>
      </c>
    </row>
    <row r="243" spans="2:5" x14ac:dyDescent="0.25">
      <c r="B243" s="35">
        <v>63</v>
      </c>
      <c r="C243" s="123">
        <v>0</v>
      </c>
      <c r="D243" s="36">
        <v>-0.1242189519</v>
      </c>
      <c r="E243" s="36">
        <v>9.43076479E-2</v>
      </c>
    </row>
    <row r="244" spans="2:5" x14ac:dyDescent="0.25">
      <c r="B244" s="35">
        <v>63.25</v>
      </c>
      <c r="C244" s="123">
        <v>0</v>
      </c>
      <c r="D244" s="36">
        <v>-0.1267624104</v>
      </c>
      <c r="E244" s="36">
        <v>9.6153697499999996E-2</v>
      </c>
    </row>
    <row r="245" spans="2:5" x14ac:dyDescent="0.25">
      <c r="B245" s="35">
        <v>63.5</v>
      </c>
      <c r="C245" s="123">
        <v>0</v>
      </c>
      <c r="D245" s="36">
        <v>-0.12930961569999999</v>
      </c>
      <c r="E245" s="36">
        <v>9.8000184599999998E-2</v>
      </c>
    </row>
    <row r="246" spans="2:5" x14ac:dyDescent="0.25">
      <c r="B246" s="35">
        <v>63.75</v>
      </c>
      <c r="C246" s="123">
        <v>0</v>
      </c>
      <c r="D246" s="36">
        <v>-0.13186017789999999</v>
      </c>
      <c r="E246" s="36">
        <v>9.9846921199999994E-2</v>
      </c>
    </row>
    <row r="247" spans="2:5" x14ac:dyDescent="0.25">
      <c r="B247" s="35">
        <v>64</v>
      </c>
      <c r="C247" s="123">
        <v>0</v>
      </c>
      <c r="D247" s="36">
        <v>-0.1344137192</v>
      </c>
      <c r="E247" s="36">
        <v>0.1016937187</v>
      </c>
    </row>
    <row r="248" spans="2:5" x14ac:dyDescent="0.25">
      <c r="B248" s="35">
        <v>64.25</v>
      </c>
      <c r="C248" s="123">
        <v>0</v>
      </c>
      <c r="D248" s="36">
        <v>-0.13696989330000001</v>
      </c>
      <c r="E248" s="36">
        <v>0.10354038879999999</v>
      </c>
    </row>
    <row r="249" spans="2:5" x14ac:dyDescent="0.25">
      <c r="B249" s="35">
        <v>64.5</v>
      </c>
      <c r="C249" s="123">
        <v>0</v>
      </c>
      <c r="D249" s="36">
        <v>-0.13952842069999999</v>
      </c>
      <c r="E249" s="36">
        <v>0.1053867225</v>
      </c>
    </row>
    <row r="250" spans="2:5" x14ac:dyDescent="0.25">
      <c r="B250" s="35">
        <v>64.75</v>
      </c>
      <c r="C250" s="123">
        <v>0</v>
      </c>
      <c r="D250" s="36">
        <v>-0.1420890538</v>
      </c>
      <c r="E250" s="36">
        <v>0.10723250619999999</v>
      </c>
    </row>
    <row r="251" spans="2:5" x14ac:dyDescent="0.25">
      <c r="B251" s="35">
        <v>65</v>
      </c>
      <c r="C251" s="123">
        <v>0</v>
      </c>
      <c r="D251" s="36">
        <v>-0.14465154969999999</v>
      </c>
      <c r="E251" s="36">
        <v>0.10907753150000001</v>
      </c>
    </row>
    <row r="252" spans="2:5" x14ac:dyDescent="0.25">
      <c r="B252" s="35">
        <v>65.25</v>
      </c>
      <c r="C252" s="123">
        <v>0</v>
      </c>
      <c r="D252" s="36">
        <v>-0.1472156536</v>
      </c>
      <c r="E252" s="36">
        <v>0.11092159930000001</v>
      </c>
    </row>
    <row r="253" spans="2:5" x14ac:dyDescent="0.25">
      <c r="B253" s="35">
        <v>65.5</v>
      </c>
      <c r="C253" s="123">
        <v>0</v>
      </c>
      <c r="D253" s="36">
        <v>-0.14978102879999999</v>
      </c>
      <c r="E253" s="36">
        <v>0.112764538</v>
      </c>
    </row>
    <row r="254" spans="2:5" x14ac:dyDescent="0.25">
      <c r="B254" s="35">
        <v>65.75</v>
      </c>
      <c r="C254" s="123">
        <v>0</v>
      </c>
      <c r="D254" s="36">
        <v>-0.1523473165</v>
      </c>
      <c r="E254" s="36">
        <v>0.114606187</v>
      </c>
    </row>
    <row r="255" spans="2:5" x14ac:dyDescent="0.25">
      <c r="B255" s="35">
        <v>66</v>
      </c>
      <c r="C255" s="123">
        <v>0</v>
      </c>
      <c r="D255" s="36">
        <v>-0.15491417099999999</v>
      </c>
      <c r="E255" s="36">
        <v>0.116446389</v>
      </c>
    </row>
    <row r="256" spans="2:5" x14ac:dyDescent="0.25">
      <c r="B256" s="35">
        <v>66.25</v>
      </c>
      <c r="C256" s="123">
        <v>0</v>
      </c>
      <c r="D256" s="36">
        <v>-0.15748126700000001</v>
      </c>
      <c r="E256" s="36">
        <v>0.1182849899</v>
      </c>
    </row>
    <row r="257" spans="2:5" x14ac:dyDescent="0.25">
      <c r="B257" s="35">
        <v>66.5</v>
      </c>
      <c r="C257" s="123">
        <v>0</v>
      </c>
      <c r="D257" s="36">
        <v>-0.16004833560000001</v>
      </c>
      <c r="E257" s="36">
        <v>0.1201218475</v>
      </c>
    </row>
    <row r="258" spans="2:5" x14ac:dyDescent="0.25">
      <c r="B258" s="35">
        <v>66.75</v>
      </c>
      <c r="C258" s="123">
        <v>0</v>
      </c>
      <c r="D258" s="36">
        <v>-0.16261514739999999</v>
      </c>
      <c r="E258" s="36">
        <v>0.1219568213</v>
      </c>
    </row>
    <row r="259" spans="2:5" x14ac:dyDescent="0.25">
      <c r="B259" s="35">
        <v>67</v>
      </c>
      <c r="C259" s="123">
        <v>0</v>
      </c>
      <c r="D259" s="36">
        <v>-0.16518149509999999</v>
      </c>
      <c r="E259" s="36">
        <v>0.1237897734</v>
      </c>
    </row>
    <row r="260" spans="2:5" x14ac:dyDescent="0.25">
      <c r="B260" s="35">
        <v>67.25</v>
      </c>
      <c r="C260" s="123">
        <v>0</v>
      </c>
      <c r="D260" s="36">
        <v>-0.16774722249999999</v>
      </c>
      <c r="E260" s="36">
        <v>0.12562056890000001</v>
      </c>
    </row>
    <row r="261" spans="2:5" x14ac:dyDescent="0.25">
      <c r="B261" s="35">
        <v>67.5</v>
      </c>
      <c r="C261" s="123">
        <v>0</v>
      </c>
      <c r="D261" s="36">
        <v>-0.1703122443</v>
      </c>
      <c r="E261" s="36">
        <v>0.1274490721</v>
      </c>
    </row>
    <row r="262" spans="2:5" x14ac:dyDescent="0.25">
      <c r="B262" s="35">
        <v>67.75</v>
      </c>
      <c r="C262" s="123">
        <v>0</v>
      </c>
      <c r="D262" s="36">
        <v>-0.1728764569</v>
      </c>
      <c r="E262" s="36">
        <v>0.12927514949999999</v>
      </c>
    </row>
    <row r="263" spans="2:5" x14ac:dyDescent="0.25">
      <c r="B263" s="35">
        <v>68</v>
      </c>
      <c r="C263" s="123">
        <v>0</v>
      </c>
      <c r="D263" s="36">
        <v>-0.17543976310000001</v>
      </c>
      <c r="E263" s="36">
        <v>0.131098668</v>
      </c>
    </row>
    <row r="264" spans="2:5" x14ac:dyDescent="0.25">
      <c r="B264" s="35">
        <v>68.25</v>
      </c>
      <c r="C264" s="123">
        <v>0</v>
      </c>
      <c r="D264" s="36">
        <v>-0.17800206809999999</v>
      </c>
      <c r="E264" s="36">
        <v>0.13291949959999999</v>
      </c>
    </row>
    <row r="265" spans="2:5" x14ac:dyDescent="0.25">
      <c r="B265" s="35">
        <v>68.5</v>
      </c>
      <c r="C265" s="123">
        <v>0</v>
      </c>
      <c r="D265" s="36">
        <v>-0.1805632526</v>
      </c>
      <c r="E265" s="36">
        <v>0.13473752110000001</v>
      </c>
    </row>
    <row r="266" spans="2:5" x14ac:dyDescent="0.25">
      <c r="B266" s="35">
        <v>68.75</v>
      </c>
      <c r="C266" s="123">
        <v>0</v>
      </c>
      <c r="D266" s="36">
        <v>-0.18312322589999999</v>
      </c>
      <c r="E266" s="36">
        <v>0.1365526121</v>
      </c>
    </row>
    <row r="267" spans="2:5" x14ac:dyDescent="0.25">
      <c r="B267" s="35">
        <v>69</v>
      </c>
      <c r="C267" s="123">
        <v>0</v>
      </c>
      <c r="D267" s="36">
        <v>-0.18568190200000001</v>
      </c>
      <c r="E267" s="36">
        <v>0.13836465549999999</v>
      </c>
    </row>
    <row r="268" spans="2:5" x14ac:dyDescent="0.25">
      <c r="B268" s="35">
        <v>69.25</v>
      </c>
      <c r="C268" s="123">
        <v>0</v>
      </c>
      <c r="D268" s="36">
        <v>-0.188239191</v>
      </c>
      <c r="E268" s="36">
        <v>0.14017354309999999</v>
      </c>
    </row>
    <row r="269" spans="2:5" x14ac:dyDescent="0.25">
      <c r="B269" s="35">
        <v>69.5</v>
      </c>
      <c r="C269" s="123">
        <v>0</v>
      </c>
      <c r="D269" s="36">
        <v>-0.19079501430000001</v>
      </c>
      <c r="E269" s="36">
        <v>0.14197917409999999</v>
      </c>
    </row>
    <row r="270" spans="2:5" x14ac:dyDescent="0.25">
      <c r="B270" s="35">
        <v>69.75</v>
      </c>
      <c r="C270" s="123">
        <v>0</v>
      </c>
      <c r="D270" s="36">
        <v>-0.19334930310000001</v>
      </c>
      <c r="E270" s="36">
        <v>0.143781451</v>
      </c>
    </row>
    <row r="271" spans="2:5" x14ac:dyDescent="0.25">
      <c r="B271" s="35">
        <v>70</v>
      </c>
      <c r="C271" s="123">
        <v>0</v>
      </c>
      <c r="D271" s="36">
        <v>-0.1959019783</v>
      </c>
      <c r="E271" s="36">
        <v>0.14558028109999999</v>
      </c>
    </row>
    <row r="272" spans="2:5" x14ac:dyDescent="0.25">
      <c r="B272" s="35">
        <v>70.25</v>
      </c>
      <c r="C272" s="123">
        <v>0</v>
      </c>
      <c r="D272" s="36">
        <v>-0.19845295769999999</v>
      </c>
      <c r="E272" s="36">
        <v>0.14737557600000001</v>
      </c>
    </row>
    <row r="273" spans="2:5" x14ac:dyDescent="0.25">
      <c r="B273" s="35">
        <v>70.5</v>
      </c>
      <c r="C273" s="123">
        <v>0</v>
      </c>
      <c r="D273" s="36">
        <v>-0.20100220099999999</v>
      </c>
      <c r="E273" s="36">
        <v>0.14916724310000001</v>
      </c>
    </row>
    <row r="274" spans="2:5" x14ac:dyDescent="0.25">
      <c r="B274" s="35">
        <v>70.75</v>
      </c>
      <c r="C274" s="123">
        <v>0</v>
      </c>
      <c r="D274" s="36">
        <v>-0.20354969019999999</v>
      </c>
      <c r="E274" s="36">
        <v>0.15095518999999999</v>
      </c>
    </row>
    <row r="275" spans="2:5" x14ac:dyDescent="0.25">
      <c r="B275" s="35">
        <v>71</v>
      </c>
      <c r="C275" s="123">
        <v>0</v>
      </c>
      <c r="D275" s="36">
        <v>-0.20609542</v>
      </c>
      <c r="E275" s="36">
        <v>0.15273932579999999</v>
      </c>
    </row>
    <row r="276" spans="2:5" x14ac:dyDescent="0.25">
      <c r="B276" s="35">
        <v>71.25</v>
      </c>
      <c r="C276" s="123">
        <v>0</v>
      </c>
      <c r="D276" s="36">
        <v>-0.20863939170000001</v>
      </c>
      <c r="E276" s="36">
        <v>0.15451956720000001</v>
      </c>
    </row>
    <row r="277" spans="2:5" x14ac:dyDescent="0.25">
      <c r="B277" s="35">
        <v>71.5</v>
      </c>
      <c r="C277" s="123">
        <v>0</v>
      </c>
      <c r="D277" s="36">
        <v>-0.21118159149999999</v>
      </c>
      <c r="E277" s="36">
        <v>0.1562958448</v>
      </c>
    </row>
    <row r="278" spans="2:5" x14ac:dyDescent="0.25">
      <c r="B278" s="35">
        <v>71.75</v>
      </c>
      <c r="C278" s="123">
        <v>0</v>
      </c>
      <c r="D278" s="36">
        <v>-0.21372199159999999</v>
      </c>
      <c r="E278" s="36">
        <v>0.15806809259999999</v>
      </c>
    </row>
    <row r="279" spans="2:5" x14ac:dyDescent="0.25">
      <c r="B279" s="35">
        <v>72</v>
      </c>
      <c r="C279" s="123">
        <v>0</v>
      </c>
      <c r="D279" s="36">
        <v>-0.2162605423</v>
      </c>
      <c r="E279" s="36">
        <v>0.15983624590000001</v>
      </c>
    </row>
    <row r="280" spans="2:5" x14ac:dyDescent="0.25">
      <c r="B280" s="35">
        <v>72.25</v>
      </c>
      <c r="C280" s="123">
        <v>0</v>
      </c>
      <c r="D280" s="36">
        <v>-0.21879714419999999</v>
      </c>
      <c r="E280" s="36">
        <v>0.1616002463</v>
      </c>
    </row>
    <row r="281" spans="2:5" x14ac:dyDescent="0.25">
      <c r="B281" s="35">
        <v>72.5</v>
      </c>
      <c r="C281" s="123">
        <v>0</v>
      </c>
      <c r="D281" s="36">
        <v>-0.22133164399999999</v>
      </c>
      <c r="E281" s="36">
        <v>0.16336005410000001</v>
      </c>
    </row>
    <row r="282" spans="2:5" x14ac:dyDescent="0.25">
      <c r="B282" s="35">
        <v>72.75</v>
      </c>
      <c r="C282" s="123">
        <v>0</v>
      </c>
      <c r="D282" s="36">
        <v>-0.2238638815</v>
      </c>
      <c r="E282" s="36">
        <v>0.16511564240000001</v>
      </c>
    </row>
    <row r="283" spans="2:5" x14ac:dyDescent="0.25">
      <c r="B283" s="35">
        <v>73</v>
      </c>
      <c r="C283" s="123">
        <v>0</v>
      </c>
      <c r="D283" s="36">
        <v>-0.2263936989</v>
      </c>
      <c r="E283" s="36">
        <v>0.16686699220000001</v>
      </c>
    </row>
    <row r="284" spans="2:5" x14ac:dyDescent="0.25">
      <c r="B284" s="35">
        <v>73.25</v>
      </c>
      <c r="C284" s="123">
        <v>0</v>
      </c>
      <c r="D284" s="36">
        <v>-0.22892094020000001</v>
      </c>
      <c r="E284" s="36">
        <v>0.1686140861</v>
      </c>
    </row>
    <row r="285" spans="2:5" x14ac:dyDescent="0.25">
      <c r="B285" s="35">
        <v>73.5</v>
      </c>
      <c r="C285" s="123">
        <v>0</v>
      </c>
      <c r="D285" s="36">
        <v>-0.23144542970000001</v>
      </c>
      <c r="E285" s="36">
        <v>0.17035690370000001</v>
      </c>
    </row>
    <row r="286" spans="2:5" x14ac:dyDescent="0.25">
      <c r="B286" s="35">
        <v>73.75</v>
      </c>
      <c r="C286" s="123">
        <v>0</v>
      </c>
      <c r="D286" s="36">
        <v>-0.23396696289999999</v>
      </c>
      <c r="E286" s="36">
        <v>0.1720954281</v>
      </c>
    </row>
    <row r="287" spans="2:5" x14ac:dyDescent="0.25">
      <c r="B287" s="35">
        <v>74</v>
      </c>
      <c r="C287" s="123">
        <v>0</v>
      </c>
      <c r="D287" s="36">
        <v>-0.23648533269999999</v>
      </c>
      <c r="E287" s="36">
        <v>0.1738296443</v>
      </c>
    </row>
    <row r="288" spans="2:5" x14ac:dyDescent="0.25">
      <c r="B288" s="35">
        <v>74.25</v>
      </c>
      <c r="C288" s="123">
        <v>0</v>
      </c>
      <c r="D288" s="36">
        <v>-0.23900034019999999</v>
      </c>
      <c r="E288" s="36">
        <v>0.1755595345</v>
      </c>
    </row>
    <row r="289" spans="2:5" x14ac:dyDescent="0.25">
      <c r="B289" s="35">
        <v>74.5</v>
      </c>
      <c r="C289" s="123">
        <v>0</v>
      </c>
      <c r="D289" s="36">
        <v>-0.24151179540000001</v>
      </c>
      <c r="E289" s="36">
        <v>0.17728506869999999</v>
      </c>
    </row>
    <row r="290" spans="2:5" x14ac:dyDescent="0.25">
      <c r="B290" s="35">
        <v>74.75</v>
      </c>
      <c r="C290" s="123">
        <v>0</v>
      </c>
      <c r="D290" s="36">
        <v>-0.24401951599999999</v>
      </c>
      <c r="E290" s="36">
        <v>0.17900621489999999</v>
      </c>
    </row>
    <row r="291" spans="2:5" x14ac:dyDescent="0.25">
      <c r="B291" s="35">
        <v>75</v>
      </c>
      <c r="C291" s="123">
        <v>0</v>
      </c>
      <c r="D291" s="36">
        <v>-0.2465233248</v>
      </c>
      <c r="E291" s="36">
        <v>0.18072294080000001</v>
      </c>
    </row>
    <row r="292" spans="2:5" x14ac:dyDescent="0.25">
      <c r="B292" s="35">
        <v>75.25</v>
      </c>
      <c r="C292" s="123">
        <v>0</v>
      </c>
      <c r="D292" s="36">
        <v>-0.2490230403</v>
      </c>
      <c r="E292" s="36">
        <v>0.18243521469999999</v>
      </c>
    </row>
    <row r="293" spans="2:5" x14ac:dyDescent="0.25">
      <c r="B293" s="35">
        <v>75.5</v>
      </c>
      <c r="C293" s="123">
        <v>0</v>
      </c>
      <c r="D293" s="36">
        <v>-0.25151852320000001</v>
      </c>
      <c r="E293" s="36">
        <v>0.18414299749999999</v>
      </c>
    </row>
    <row r="294" spans="2:5" x14ac:dyDescent="0.25">
      <c r="B294" s="35">
        <v>75.75</v>
      </c>
      <c r="C294" s="123">
        <v>0</v>
      </c>
      <c r="D294" s="36">
        <v>-0.2540096543</v>
      </c>
      <c r="E294" s="36">
        <v>0.18584624869999999</v>
      </c>
    </row>
    <row r="295" spans="2:5" x14ac:dyDescent="0.25">
      <c r="B295" s="35">
        <v>76</v>
      </c>
      <c r="C295" s="123">
        <v>0</v>
      </c>
      <c r="D295" s="36">
        <v>-0.25649631639999998</v>
      </c>
      <c r="E295" s="36">
        <v>0.1875449294</v>
      </c>
    </row>
    <row r="296" spans="2:5" x14ac:dyDescent="0.25">
      <c r="B296" s="35">
        <v>76.25</v>
      </c>
      <c r="C296" s="123">
        <v>0</v>
      </c>
      <c r="D296" s="36">
        <v>-0.25897838410000001</v>
      </c>
      <c r="E296" s="36">
        <v>0.18923900290000001</v>
      </c>
    </row>
    <row r="297" spans="2:5" x14ac:dyDescent="0.25">
      <c r="B297" s="35">
        <v>76.5</v>
      </c>
      <c r="C297" s="123">
        <v>0</v>
      </c>
      <c r="D297" s="36">
        <v>-0.26145571989999999</v>
      </c>
      <c r="E297" s="36">
        <v>0.19092843579999999</v>
      </c>
    </row>
    <row r="298" spans="2:5" x14ac:dyDescent="0.25">
      <c r="B298" s="35">
        <v>76.75</v>
      </c>
      <c r="C298" s="123">
        <v>0</v>
      </c>
      <c r="D298" s="36">
        <v>-0.2639281731</v>
      </c>
      <c r="E298" s="36">
        <v>0.19261320109999999</v>
      </c>
    </row>
    <row r="299" spans="2:5" x14ac:dyDescent="0.25">
      <c r="B299" s="35">
        <v>77</v>
      </c>
      <c r="C299" s="123">
        <v>0</v>
      </c>
      <c r="D299" s="36">
        <v>-0.26639558299999999</v>
      </c>
      <c r="E299" s="36">
        <v>0.19429327560000001</v>
      </c>
    </row>
    <row r="300" spans="2:5" x14ac:dyDescent="0.25">
      <c r="B300" s="35">
        <v>77.25</v>
      </c>
      <c r="C300" s="123">
        <v>0</v>
      </c>
      <c r="D300" s="36">
        <v>-0.2688577969</v>
      </c>
      <c r="E300" s="36">
        <v>0.1959686373</v>
      </c>
    </row>
    <row r="301" spans="2:5" x14ac:dyDescent="0.25">
      <c r="B301" s="35">
        <v>77.5</v>
      </c>
      <c r="C301" s="123">
        <v>0</v>
      </c>
      <c r="D301" s="36">
        <v>-0.27131469580000001</v>
      </c>
      <c r="E301" s="36">
        <v>0.19763926300000001</v>
      </c>
    </row>
    <row r="302" spans="2:5" x14ac:dyDescent="0.25">
      <c r="B302" s="35">
        <v>77.75</v>
      </c>
      <c r="C302" s="123">
        <v>0</v>
      </c>
      <c r="D302" s="36">
        <v>-0.27376617530000003</v>
      </c>
      <c r="E302" s="36">
        <v>0.1993051304</v>
      </c>
    </row>
    <row r="303" spans="2:5" x14ac:dyDescent="0.25">
      <c r="B303" s="35">
        <v>78</v>
      </c>
      <c r="C303" s="123">
        <v>0</v>
      </c>
      <c r="D303" s="36">
        <v>-0.27621213389999999</v>
      </c>
      <c r="E303" s="36">
        <v>0.20096621789999999</v>
      </c>
    </row>
    <row r="304" spans="2:5" x14ac:dyDescent="0.25">
      <c r="B304" s="35">
        <v>78.25</v>
      </c>
      <c r="C304" s="123">
        <v>0</v>
      </c>
      <c r="D304" s="36">
        <v>-0.2786524829</v>
      </c>
      <c r="E304" s="36">
        <v>0.2026225076</v>
      </c>
    </row>
    <row r="305" spans="2:5" x14ac:dyDescent="0.25">
      <c r="B305" s="35">
        <v>78.5</v>
      </c>
      <c r="C305" s="123">
        <v>0</v>
      </c>
      <c r="D305" s="36">
        <v>-0.2810871613</v>
      </c>
      <c r="E305" s="36">
        <v>0.20427399460000001</v>
      </c>
    </row>
    <row r="306" spans="2:5" x14ac:dyDescent="0.25">
      <c r="B306" s="35">
        <v>78.75</v>
      </c>
      <c r="C306" s="123">
        <v>0</v>
      </c>
      <c r="D306" s="36">
        <v>-0.2835161095</v>
      </c>
      <c r="E306" s="36">
        <v>0.20592067989999999</v>
      </c>
    </row>
    <row r="307" spans="2:5" x14ac:dyDescent="0.25">
      <c r="B307" s="35">
        <v>79</v>
      </c>
      <c r="C307" s="123">
        <v>0</v>
      </c>
      <c r="D307" s="36">
        <v>-0.28593927689999998</v>
      </c>
      <c r="E307" s="36">
        <v>0.20756256649999999</v>
      </c>
    </row>
    <row r="308" spans="2:5" x14ac:dyDescent="0.25">
      <c r="B308" s="35">
        <v>79.25</v>
      </c>
      <c r="C308" s="123">
        <v>0</v>
      </c>
      <c r="D308" s="36">
        <v>-0.28835661670000001</v>
      </c>
      <c r="E308" s="36">
        <v>0.20919965639999999</v>
      </c>
    </row>
    <row r="309" spans="2:5" x14ac:dyDescent="0.25">
      <c r="B309" s="35">
        <v>79.5</v>
      </c>
      <c r="C309" s="123">
        <v>0</v>
      </c>
      <c r="D309" s="36">
        <v>-0.29076808679999999</v>
      </c>
      <c r="E309" s="36">
        <v>0.21083194750000001</v>
      </c>
    </row>
    <row r="310" spans="2:5" x14ac:dyDescent="0.25">
      <c r="B310" s="35">
        <v>79.75</v>
      </c>
      <c r="C310" s="123">
        <v>0</v>
      </c>
      <c r="D310" s="36">
        <v>-0.29317364750000002</v>
      </c>
      <c r="E310" s="36">
        <v>0.21245943710000001</v>
      </c>
    </row>
    <row r="311" spans="2:5" x14ac:dyDescent="0.25">
      <c r="B311" s="35">
        <v>80</v>
      </c>
      <c r="C311" s="123">
        <v>0</v>
      </c>
      <c r="D311" s="36">
        <v>-0.2955732573</v>
      </c>
      <c r="E311" s="36">
        <v>0.21408212209999999</v>
      </c>
    </row>
    <row r="312" spans="2:5" x14ac:dyDescent="0.25">
      <c r="B312" s="35">
        <v>80.25</v>
      </c>
      <c r="C312" s="123">
        <v>0</v>
      </c>
      <c r="D312" s="36">
        <v>-0.29796686909999998</v>
      </c>
      <c r="E312" s="36">
        <v>0.21570000010000001</v>
      </c>
    </row>
    <row r="313" spans="2:5" x14ac:dyDescent="0.25">
      <c r="B313" s="35">
        <v>80.5</v>
      </c>
      <c r="C313" s="123">
        <v>0</v>
      </c>
      <c r="D313" s="36">
        <v>-0.30035443620000002</v>
      </c>
      <c r="E313" s="36">
        <v>0.21731307120000001</v>
      </c>
    </row>
    <row r="314" spans="2:5" x14ac:dyDescent="0.25">
      <c r="B314" s="35">
        <v>80.75</v>
      </c>
      <c r="C314" s="123">
        <v>0</v>
      </c>
      <c r="D314" s="36">
        <v>-0.30273591729999999</v>
      </c>
      <c r="E314" s="36">
        <v>0.21892133820000001</v>
      </c>
    </row>
    <row r="315" spans="2:5" x14ac:dyDescent="0.25">
      <c r="B315" s="35">
        <v>81</v>
      </c>
      <c r="C315" s="123">
        <v>0</v>
      </c>
      <c r="D315" s="36">
        <v>-0.30511127500000002</v>
      </c>
      <c r="E315" s="36">
        <v>0.22052480299999999</v>
      </c>
    </row>
    <row r="316" spans="2:5" x14ac:dyDescent="0.25">
      <c r="B316" s="35">
        <v>81.25</v>
      </c>
      <c r="C316" s="123">
        <v>0</v>
      </c>
      <c r="D316" s="36">
        <v>-0.30748047519999999</v>
      </c>
      <c r="E316" s="36">
        <v>0.2221234695</v>
      </c>
    </row>
    <row r="317" spans="2:5" x14ac:dyDescent="0.25">
      <c r="B317" s="35">
        <v>81.5</v>
      </c>
      <c r="C317" s="123">
        <v>0</v>
      </c>
      <c r="D317" s="36">
        <v>-0.30984348369999998</v>
      </c>
      <c r="E317" s="36">
        <v>0.2237173516</v>
      </c>
    </row>
    <row r="318" spans="2:5" x14ac:dyDescent="0.25">
      <c r="B318" s="35">
        <v>81.75</v>
      </c>
      <c r="C318" s="123">
        <v>0</v>
      </c>
      <c r="D318" s="36">
        <v>-0.3122002673</v>
      </c>
      <c r="E318" s="36">
        <v>0.22530646560000001</v>
      </c>
    </row>
    <row r="319" spans="2:5" x14ac:dyDescent="0.25">
      <c r="B319" s="35">
        <v>82</v>
      </c>
      <c r="C319" s="123">
        <v>0</v>
      </c>
      <c r="D319" s="36">
        <v>-0.31455079590000001</v>
      </c>
      <c r="E319" s="36">
        <v>0.2268908285</v>
      </c>
    </row>
    <row r="320" spans="2:5" x14ac:dyDescent="0.25">
      <c r="B320" s="35">
        <v>82.25</v>
      </c>
      <c r="C320" s="123">
        <v>0</v>
      </c>
      <c r="D320" s="36">
        <v>-0.31689504010000002</v>
      </c>
      <c r="E320" s="36">
        <v>0.22847046090000001</v>
      </c>
    </row>
    <row r="321" spans="2:5" x14ac:dyDescent="0.25">
      <c r="B321" s="35">
        <v>82.5</v>
      </c>
      <c r="C321" s="123">
        <v>0</v>
      </c>
      <c r="D321" s="36">
        <v>-0.3192329773</v>
      </c>
      <c r="E321" s="36">
        <v>0.23004538660000001</v>
      </c>
    </row>
    <row r="322" spans="2:5" x14ac:dyDescent="0.25">
      <c r="B322" s="35">
        <v>82.75</v>
      </c>
      <c r="C322" s="123">
        <v>0</v>
      </c>
      <c r="D322" s="36">
        <v>-0.32156458910000002</v>
      </c>
      <c r="E322" s="36">
        <v>0.2316156295</v>
      </c>
    </row>
    <row r="323" spans="2:5" x14ac:dyDescent="0.25">
      <c r="B323" s="35">
        <v>83</v>
      </c>
      <c r="C323" s="123">
        <v>0</v>
      </c>
      <c r="D323" s="36">
        <v>-0.32388985780000001</v>
      </c>
      <c r="E323" s="36">
        <v>0.23318121389999999</v>
      </c>
    </row>
    <row r="324" spans="2:5" x14ac:dyDescent="0.25">
      <c r="B324" s="35">
        <v>83.25</v>
      </c>
      <c r="C324" s="123">
        <v>0</v>
      </c>
      <c r="D324" s="36">
        <v>-0.32620877110000002</v>
      </c>
      <c r="E324" s="36">
        <v>0.2347421636</v>
      </c>
    </row>
    <row r="325" spans="2:5" x14ac:dyDescent="0.25">
      <c r="B325" s="35">
        <v>83.5</v>
      </c>
      <c r="C325" s="123">
        <v>0</v>
      </c>
      <c r="D325" s="36">
        <v>-0.32852133709999998</v>
      </c>
      <c r="E325" s="36">
        <v>0.2362985027</v>
      </c>
    </row>
    <row r="326" spans="2:5" x14ac:dyDescent="0.25">
      <c r="B326" s="35">
        <v>83.75</v>
      </c>
      <c r="C326" s="123">
        <v>0</v>
      </c>
      <c r="D326" s="36">
        <v>-0.33082757159999998</v>
      </c>
      <c r="E326" s="36">
        <v>0.23785025500000001</v>
      </c>
    </row>
    <row r="327" spans="2:5" x14ac:dyDescent="0.25">
      <c r="B327" s="35">
        <v>84</v>
      </c>
      <c r="C327" s="123">
        <v>0</v>
      </c>
      <c r="D327" s="36">
        <v>-0.33312748889999999</v>
      </c>
      <c r="E327" s="36">
        <v>0.2393974442</v>
      </c>
    </row>
    <row r="328" spans="2:5" x14ac:dyDescent="0.25">
      <c r="B328" s="35">
        <v>84.25</v>
      </c>
      <c r="C328" s="123">
        <v>0</v>
      </c>
      <c r="D328" s="36">
        <v>-0.335421099</v>
      </c>
      <c r="E328" s="36">
        <v>0.24094009420000001</v>
      </c>
    </row>
    <row r="329" spans="2:5" x14ac:dyDescent="0.25">
      <c r="B329" s="35">
        <v>84.5</v>
      </c>
      <c r="C329" s="123">
        <v>0</v>
      </c>
      <c r="D329" s="36">
        <v>-0.33770840569999999</v>
      </c>
      <c r="E329" s="36">
        <v>0.2424782274</v>
      </c>
    </row>
    <row r="330" spans="2:5" x14ac:dyDescent="0.25">
      <c r="B330" s="35">
        <v>84.75</v>
      </c>
      <c r="C330" s="123">
        <v>0</v>
      </c>
      <c r="D330" s="36">
        <v>-0.33998940989999998</v>
      </c>
      <c r="E330" s="36">
        <v>0.24401186650000001</v>
      </c>
    </row>
    <row r="331" spans="2:5" x14ac:dyDescent="0.25">
      <c r="B331" s="35">
        <v>85</v>
      </c>
      <c r="C331" s="123">
        <v>0</v>
      </c>
      <c r="D331" s="36">
        <v>-0.3422641106</v>
      </c>
      <c r="E331" s="36">
        <v>0.24554103420000001</v>
      </c>
    </row>
    <row r="332" spans="2:5" x14ac:dyDescent="0.25">
      <c r="B332" s="35">
        <v>85.25</v>
      </c>
      <c r="C332" s="123">
        <v>0</v>
      </c>
      <c r="D332" s="36">
        <v>-0.34453250590000001</v>
      </c>
      <c r="E332" s="36">
        <v>0.24706575310000001</v>
      </c>
    </row>
    <row r="333" spans="2:5" x14ac:dyDescent="0.25">
      <c r="B333" s="35">
        <v>85.5</v>
      </c>
      <c r="C333" s="123">
        <v>0</v>
      </c>
      <c r="D333" s="36">
        <v>-0.34679459550000002</v>
      </c>
      <c r="E333" s="36">
        <v>0.2485860446</v>
      </c>
    </row>
    <row r="334" spans="2:5" x14ac:dyDescent="0.25">
      <c r="B334" s="35">
        <v>85.75</v>
      </c>
      <c r="C334" s="123">
        <v>0</v>
      </c>
      <c r="D334" s="36">
        <v>-0.34905037979999998</v>
      </c>
      <c r="E334" s="36">
        <v>0.25010193019999999</v>
      </c>
    </row>
    <row r="335" spans="2:5" x14ac:dyDescent="0.25">
      <c r="B335" s="35">
        <v>86</v>
      </c>
      <c r="C335" s="123">
        <v>0</v>
      </c>
      <c r="D335" s="36">
        <v>-0.35129985860000001</v>
      </c>
      <c r="E335" s="36">
        <v>0.25161343060000002</v>
      </c>
    </row>
    <row r="336" spans="2:5" x14ac:dyDescent="0.25">
      <c r="B336" s="35">
        <v>86.25</v>
      </c>
      <c r="C336" s="123">
        <v>0</v>
      </c>
      <c r="D336" s="36">
        <v>-0.3535430343</v>
      </c>
      <c r="E336" s="36">
        <v>0.25312056640000002</v>
      </c>
    </row>
    <row r="337" spans="2:5" x14ac:dyDescent="0.25">
      <c r="B337" s="35">
        <v>86.5</v>
      </c>
      <c r="C337" s="123">
        <v>0</v>
      </c>
      <c r="D337" s="36">
        <v>-0.35577991910000001</v>
      </c>
      <c r="E337" s="36">
        <v>0.25462335740000003</v>
      </c>
    </row>
    <row r="338" spans="2:5" x14ac:dyDescent="0.25">
      <c r="B338" s="35">
        <v>86.75</v>
      </c>
      <c r="C338" s="123">
        <v>0</v>
      </c>
      <c r="D338" s="36">
        <v>-0.35801053040000003</v>
      </c>
      <c r="E338" s="36">
        <v>0.25612182439999998</v>
      </c>
    </row>
    <row r="339" spans="2:5" x14ac:dyDescent="0.25">
      <c r="B339" s="35">
        <v>87</v>
      </c>
      <c r="C339" s="123">
        <v>0</v>
      </c>
      <c r="D339" s="36">
        <v>-0.3602348863</v>
      </c>
      <c r="E339" s="36">
        <v>0.25761598870000002</v>
      </c>
    </row>
    <row r="340" spans="2:5" x14ac:dyDescent="0.25">
      <c r="B340" s="35">
        <v>87.25</v>
      </c>
      <c r="C340" s="123">
        <v>0</v>
      </c>
      <c r="D340" s="36">
        <v>-0.36245300720000001</v>
      </c>
      <c r="E340" s="36">
        <v>0.25910587229999998</v>
      </c>
    </row>
    <row r="341" spans="2:5" x14ac:dyDescent="0.25">
      <c r="B341" s="35">
        <v>87.5</v>
      </c>
      <c r="C341" s="123">
        <v>0</v>
      </c>
      <c r="D341" s="36">
        <v>-0.36466491960000003</v>
      </c>
      <c r="E341" s="36">
        <v>0.26059149939999998</v>
      </c>
    </row>
    <row r="342" spans="2:5" x14ac:dyDescent="0.25">
      <c r="B342" s="35">
        <v>87.75</v>
      </c>
      <c r="C342" s="123">
        <v>0</v>
      </c>
      <c r="D342" s="36">
        <v>-0.36687065210000003</v>
      </c>
      <c r="E342" s="36">
        <v>0.26207289480000001</v>
      </c>
    </row>
    <row r="343" spans="2:5" x14ac:dyDescent="0.25">
      <c r="B343" s="35">
        <v>88</v>
      </c>
      <c r="C343" s="123">
        <v>0</v>
      </c>
      <c r="D343" s="36">
        <v>-0.36907023280000001</v>
      </c>
      <c r="E343" s="36">
        <v>0.26355008340000002</v>
      </c>
    </row>
    <row r="344" spans="2:5" x14ac:dyDescent="0.25">
      <c r="B344" s="35">
        <v>88.25</v>
      </c>
      <c r="C344" s="123">
        <v>0</v>
      </c>
      <c r="D344" s="36">
        <v>-0.37126368920000002</v>
      </c>
      <c r="E344" s="36">
        <v>0.26502308889999998</v>
      </c>
    </row>
    <row r="345" spans="2:5" x14ac:dyDescent="0.25">
      <c r="B345" s="35">
        <v>88.5</v>
      </c>
      <c r="C345" s="123">
        <v>0</v>
      </c>
      <c r="D345" s="36">
        <v>-0.37345104759999997</v>
      </c>
      <c r="E345" s="36">
        <v>0.26649193319999998</v>
      </c>
    </row>
    <row r="346" spans="2:5" x14ac:dyDescent="0.25">
      <c r="B346" s="35">
        <v>88.75</v>
      </c>
      <c r="C346" s="123">
        <v>0</v>
      </c>
      <c r="D346" s="36">
        <v>-0.37563233350000003</v>
      </c>
      <c r="E346" s="36">
        <v>0.26795663780000001</v>
      </c>
    </row>
    <row r="347" spans="2:5" x14ac:dyDescent="0.25">
      <c r="B347" s="35">
        <v>89</v>
      </c>
      <c r="C347" s="123">
        <v>0</v>
      </c>
      <c r="D347" s="36">
        <v>-0.37780757230000001</v>
      </c>
      <c r="E347" s="36">
        <v>0.26941722369999999</v>
      </c>
    </row>
    <row r="348" spans="2:5" x14ac:dyDescent="0.25">
      <c r="B348" s="35">
        <v>89.25</v>
      </c>
      <c r="C348" s="123">
        <v>0</v>
      </c>
      <c r="D348" s="36">
        <v>-0.37997679039999999</v>
      </c>
      <c r="E348" s="36">
        <v>0.27087371199999999</v>
      </c>
    </row>
    <row r="349" spans="2:5" x14ac:dyDescent="0.25">
      <c r="B349" s="35">
        <v>89.5</v>
      </c>
      <c r="C349" s="123">
        <v>0</v>
      </c>
      <c r="D349" s="36">
        <v>-0.38214001749999998</v>
      </c>
      <c r="E349" s="36">
        <v>0.27232612389999999</v>
      </c>
    </row>
    <row r="350" spans="2:5" x14ac:dyDescent="0.25">
      <c r="B350" s="35">
        <v>89.75</v>
      </c>
      <c r="C350" s="123">
        <v>0</v>
      </c>
      <c r="D350" s="36">
        <v>-0.38429728229999999</v>
      </c>
      <c r="E350" s="36">
        <v>0.27377448059999998</v>
      </c>
    </row>
    <row r="351" spans="2:5" x14ac:dyDescent="0.25">
      <c r="B351" s="35">
        <v>90</v>
      </c>
      <c r="C351" s="123">
        <v>0</v>
      </c>
      <c r="D351" s="36">
        <v>-0.38644861229999999</v>
      </c>
      <c r="E351" s="36">
        <v>0.27521880310000002</v>
      </c>
    </row>
    <row r="352" spans="2:5" x14ac:dyDescent="0.25">
      <c r="B352" s="35">
        <v>90.25</v>
      </c>
      <c r="C352" s="123">
        <v>0</v>
      </c>
      <c r="D352" s="36">
        <v>-0.38859403409999999</v>
      </c>
      <c r="E352" s="36">
        <v>0.27665911259999998</v>
      </c>
    </row>
    <row r="353" spans="2:5" x14ac:dyDescent="0.25">
      <c r="B353" s="35">
        <v>90.5</v>
      </c>
      <c r="C353" s="123">
        <v>0</v>
      </c>
      <c r="D353" s="36">
        <v>-0.3907335717</v>
      </c>
      <c r="E353" s="36">
        <v>0.27809543060000003</v>
      </c>
    </row>
    <row r="354" spans="2:5" x14ac:dyDescent="0.25">
      <c r="B354" s="35">
        <v>90.75</v>
      </c>
      <c r="C354" s="123">
        <v>0</v>
      </c>
      <c r="D354" s="36">
        <v>-0.39286724830000003</v>
      </c>
      <c r="E354" s="36">
        <v>0.27952777849999999</v>
      </c>
    </row>
    <row r="355" spans="2:5" x14ac:dyDescent="0.25">
      <c r="B355" s="35">
        <v>91</v>
      </c>
      <c r="C355" s="123">
        <v>0</v>
      </c>
      <c r="D355" s="36">
        <v>-0.39499508709999998</v>
      </c>
      <c r="E355" s="36">
        <v>0.28095617769999998</v>
      </c>
    </row>
    <row r="356" spans="2:5" x14ac:dyDescent="0.25">
      <c r="B356" s="35">
        <v>91.25</v>
      </c>
      <c r="C356" s="123">
        <v>0</v>
      </c>
      <c r="D356" s="36">
        <v>-0.3971171121</v>
      </c>
      <c r="E356" s="36">
        <v>0.28238064950000002</v>
      </c>
    </row>
    <row r="357" spans="2:5" x14ac:dyDescent="0.25">
      <c r="B357" s="35">
        <v>91.5</v>
      </c>
      <c r="C357" s="123">
        <v>0</v>
      </c>
      <c r="D357" s="36">
        <v>-0.39923335110000002</v>
      </c>
      <c r="E357" s="36">
        <v>0.28380121619999998</v>
      </c>
    </row>
    <row r="358" spans="2:5" x14ac:dyDescent="0.25">
      <c r="B358" s="35">
        <v>91.75</v>
      </c>
      <c r="C358" s="123">
        <v>0</v>
      </c>
      <c r="D358" s="36">
        <v>-0.40134383260000001</v>
      </c>
      <c r="E358" s="36">
        <v>0.28521789990000002</v>
      </c>
    </row>
    <row r="359" spans="2:5" x14ac:dyDescent="0.25">
      <c r="B359" s="35">
        <v>92</v>
      </c>
      <c r="C359" s="123">
        <v>0</v>
      </c>
      <c r="D359" s="36">
        <v>-0.40344858490000002</v>
      </c>
      <c r="E359" s="36">
        <v>0.28663072270000001</v>
      </c>
    </row>
    <row r="360" spans="2:5" x14ac:dyDescent="0.25">
      <c r="B360" s="35">
        <v>92.25</v>
      </c>
      <c r="C360" s="123">
        <v>0</v>
      </c>
      <c r="D360" s="36">
        <v>-0.40554763649999997</v>
      </c>
      <c r="E360" s="36">
        <v>0.28803970639999998</v>
      </c>
    </row>
    <row r="361" spans="2:5" x14ac:dyDescent="0.25">
      <c r="B361" s="35">
        <v>92.5</v>
      </c>
      <c r="C361" s="123">
        <v>0</v>
      </c>
      <c r="D361" s="36">
        <v>-0.40764101689999999</v>
      </c>
      <c r="E361" s="36">
        <v>0.28944487219999998</v>
      </c>
    </row>
    <row r="362" spans="2:5" x14ac:dyDescent="0.25">
      <c r="B362" s="35">
        <v>92.75</v>
      </c>
      <c r="C362" s="123">
        <v>0</v>
      </c>
      <c r="D362" s="36">
        <v>-0.40972875590000002</v>
      </c>
      <c r="E362" s="36">
        <v>0.29084624120000002</v>
      </c>
    </row>
    <row r="363" spans="2:5" x14ac:dyDescent="0.25">
      <c r="B363" s="35">
        <v>93</v>
      </c>
      <c r="C363" s="123">
        <v>0</v>
      </c>
      <c r="D363" s="36">
        <v>-0.41181088300000002</v>
      </c>
      <c r="E363" s="36">
        <v>0.2922438343</v>
      </c>
    </row>
    <row r="364" spans="2:5" x14ac:dyDescent="0.25">
      <c r="B364" s="35">
        <v>93.25</v>
      </c>
      <c r="C364" s="123">
        <v>0</v>
      </c>
      <c r="D364" s="36">
        <v>-0.4138874273</v>
      </c>
      <c r="E364" s="36">
        <v>0.29363767219999998</v>
      </c>
    </row>
    <row r="365" spans="2:5" x14ac:dyDescent="0.25">
      <c r="B365" s="35">
        <v>93.5</v>
      </c>
      <c r="C365" s="123">
        <v>0</v>
      </c>
      <c r="D365" s="36">
        <v>-0.41595841779999998</v>
      </c>
      <c r="E365" s="36">
        <v>0.29502777530000002</v>
      </c>
    </row>
    <row r="366" spans="2:5" x14ac:dyDescent="0.25">
      <c r="B366" s="35">
        <v>93.75</v>
      </c>
      <c r="C366" s="123">
        <v>0</v>
      </c>
      <c r="D366" s="36">
        <v>-0.41802388350000003</v>
      </c>
      <c r="E366" s="36">
        <v>0.2964141642</v>
      </c>
    </row>
    <row r="367" spans="2:5" x14ac:dyDescent="0.25">
      <c r="B367" s="35">
        <v>94</v>
      </c>
      <c r="C367" s="123">
        <v>0</v>
      </c>
      <c r="D367" s="36">
        <v>-0.42008385269999998</v>
      </c>
      <c r="E367" s="36">
        <v>0.29779685890000002</v>
      </c>
    </row>
    <row r="368" spans="2:5" x14ac:dyDescent="0.25">
      <c r="B368" s="35">
        <v>94.25</v>
      </c>
      <c r="C368" s="123">
        <v>0</v>
      </c>
      <c r="D368" s="36">
        <v>-0.42213835399999999</v>
      </c>
      <c r="E368" s="36">
        <v>0.29917587950000002</v>
      </c>
    </row>
    <row r="369" spans="2:5" x14ac:dyDescent="0.25">
      <c r="B369" s="35">
        <v>94.5</v>
      </c>
      <c r="C369" s="123">
        <v>0</v>
      </c>
      <c r="D369" s="36">
        <v>-0.42418741529999998</v>
      </c>
      <c r="E369" s="36">
        <v>0.30055124579999998</v>
      </c>
    </row>
    <row r="370" spans="2:5" x14ac:dyDescent="0.25">
      <c r="B370" s="35">
        <v>94.75</v>
      </c>
      <c r="C370" s="123">
        <v>0</v>
      </c>
      <c r="D370" s="36">
        <v>-0.42623106459999999</v>
      </c>
      <c r="E370" s="36">
        <v>0.30192297769999998</v>
      </c>
    </row>
    <row r="371" spans="2:5" x14ac:dyDescent="0.25">
      <c r="B371" s="35">
        <v>95</v>
      </c>
      <c r="C371" s="123">
        <v>0</v>
      </c>
      <c r="D371" s="36">
        <v>-0.42826932960000003</v>
      </c>
      <c r="E371" s="36">
        <v>0.30329109450000002</v>
      </c>
    </row>
    <row r="372" spans="2:5" x14ac:dyDescent="0.25">
      <c r="B372" s="37"/>
      <c r="C372" s="38"/>
      <c r="D372" s="94"/>
      <c r="E372" s="94"/>
    </row>
    <row r="373" spans="2:5" x14ac:dyDescent="0.25">
      <c r="B373" s="37"/>
      <c r="C373" s="38"/>
      <c r="D373" s="94"/>
      <c r="E373" s="94"/>
    </row>
    <row r="374" spans="2:5" x14ac:dyDescent="0.25">
      <c r="B374" s="37"/>
      <c r="C374" s="38"/>
      <c r="D374" s="94"/>
      <c r="E374" s="94"/>
    </row>
    <row r="375" spans="2:5" x14ac:dyDescent="0.25">
      <c r="B375" s="37"/>
      <c r="C375" s="38"/>
      <c r="D375" s="94"/>
      <c r="E375" s="94"/>
    </row>
    <row r="376" spans="2:5" x14ac:dyDescent="0.25">
      <c r="B376" s="37"/>
      <c r="C376" s="38"/>
      <c r="D376" s="94"/>
      <c r="E376" s="94"/>
    </row>
    <row r="377" spans="2:5" x14ac:dyDescent="0.25">
      <c r="B377" s="37"/>
      <c r="C377" s="38"/>
      <c r="D377" s="94"/>
      <c r="E377" s="94"/>
    </row>
    <row r="378" spans="2:5" x14ac:dyDescent="0.25">
      <c r="B378" s="37"/>
      <c r="C378" s="38"/>
      <c r="D378" s="94"/>
      <c r="E378" s="94"/>
    </row>
    <row r="379" spans="2:5" x14ac:dyDescent="0.25">
      <c r="B379" s="37"/>
      <c r="C379" s="38"/>
      <c r="D379" s="94"/>
      <c r="E379" s="94"/>
    </row>
    <row r="380" spans="2:5" x14ac:dyDescent="0.25">
      <c r="B380" s="37"/>
      <c r="C380" s="38"/>
      <c r="D380" s="94"/>
      <c r="E380" s="94"/>
    </row>
  </sheetData>
  <mergeCells count="11">
    <mergeCell ref="U3:V3"/>
    <mergeCell ref="X3:Y3"/>
    <mergeCell ref="B1:E1"/>
    <mergeCell ref="G1:O1"/>
    <mergeCell ref="Q1:Y1"/>
    <mergeCell ref="H2:O2"/>
    <mergeCell ref="R2:Y2"/>
    <mergeCell ref="H3:I3"/>
    <mergeCell ref="K3:L3"/>
    <mergeCell ref="N3:O3"/>
    <mergeCell ref="R3:S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81158-3E8D-4CFD-AEFC-8CB5E4E1947B}">
  <dimension ref="B1:AJ371"/>
  <sheetViews>
    <sheetView workbookViewId="0">
      <selection activeCell="S17" sqref="S17"/>
    </sheetView>
  </sheetViews>
  <sheetFormatPr defaultColWidth="9.109375" defaultRowHeight="12" x14ac:dyDescent="0.25"/>
  <cols>
    <col min="1" max="2" width="9.109375" style="1"/>
    <col min="3" max="5" width="9.109375" style="89"/>
    <col min="6" max="6" width="9.109375" style="1"/>
    <col min="7" max="7" width="12.33203125" style="1" customWidth="1"/>
    <col min="8" max="8" width="9.109375" style="1"/>
    <col min="9" max="9" width="9.109375" style="89"/>
    <col min="10" max="11" width="9.109375" style="1"/>
    <col min="12" max="12" width="9.109375" style="89"/>
    <col min="13" max="13" width="9.109375" style="1"/>
    <col min="14" max="14" width="6.109375" style="1" customWidth="1"/>
    <col min="15" max="15" width="9.109375" style="89"/>
    <col min="16" max="16" width="9.109375" style="1"/>
    <col min="17" max="17" width="10.109375" style="1" customWidth="1"/>
    <col min="18" max="19" width="9.109375" style="1"/>
    <col min="20" max="20" width="5.33203125" style="1" customWidth="1"/>
    <col min="21" max="21" width="7.33203125" style="1" customWidth="1"/>
    <col min="22" max="22" width="8.88671875" style="1" customWidth="1"/>
    <col min="23" max="23" width="5" style="1" customWidth="1"/>
    <col min="24" max="24" width="7.5546875" style="1" customWidth="1"/>
    <col min="25" max="25" width="10.44140625" style="1" customWidth="1"/>
    <col min="26" max="26" width="4.6640625" style="1" customWidth="1"/>
    <col min="27" max="27" width="7.44140625" style="1" customWidth="1"/>
    <col min="28" max="28" width="8.33203125" style="1" customWidth="1"/>
    <col min="29" max="16384" width="9.109375" style="1"/>
  </cols>
  <sheetData>
    <row r="1" spans="2:36" ht="15.6" thickTop="1" thickBot="1" x14ac:dyDescent="0.35">
      <c r="B1" s="141" t="s">
        <v>159</v>
      </c>
      <c r="C1" s="142"/>
      <c r="D1" s="142"/>
      <c r="E1" s="143"/>
      <c r="G1" s="141" t="s">
        <v>160</v>
      </c>
      <c r="H1" s="142"/>
      <c r="I1" s="142"/>
      <c r="J1" s="142"/>
      <c r="K1" s="142"/>
      <c r="L1" s="142"/>
      <c r="M1" s="142"/>
      <c r="N1" s="142"/>
      <c r="O1" s="143"/>
      <c r="Q1" s="141" t="s">
        <v>158</v>
      </c>
      <c r="R1" s="142"/>
      <c r="S1" s="142"/>
      <c r="T1" s="142"/>
      <c r="U1" s="142"/>
      <c r="V1" s="142"/>
      <c r="W1" s="142"/>
      <c r="X1" s="142"/>
      <c r="Y1" s="143"/>
    </row>
    <row r="2" spans="2:36" ht="15" thickTop="1" x14ac:dyDescent="0.3">
      <c r="B2" s="35" t="s">
        <v>48</v>
      </c>
      <c r="C2" s="36" t="s">
        <v>35</v>
      </c>
      <c r="D2" s="36" t="s">
        <v>33</v>
      </c>
      <c r="E2" s="36" t="s">
        <v>34</v>
      </c>
      <c r="G2" s="40"/>
      <c r="H2" s="144" t="s">
        <v>47</v>
      </c>
      <c r="I2" s="145"/>
      <c r="J2" s="145"/>
      <c r="K2" s="145"/>
      <c r="L2" s="145"/>
      <c r="M2" s="145"/>
      <c r="N2" s="146"/>
      <c r="O2" s="147"/>
      <c r="Q2" s="40"/>
      <c r="R2" s="145" t="s">
        <v>47</v>
      </c>
      <c r="S2" s="145"/>
      <c r="T2" s="145"/>
      <c r="U2" s="145"/>
      <c r="V2" s="145"/>
      <c r="W2" s="145"/>
      <c r="X2" s="145"/>
      <c r="Y2" s="148"/>
    </row>
    <row r="3" spans="2:36" ht="14.4" x14ac:dyDescent="0.25">
      <c r="B3" s="35">
        <v>3</v>
      </c>
      <c r="C3" s="36">
        <v>1.3876224935999999</v>
      </c>
      <c r="D3" s="36">
        <v>-2.20745E-2</v>
      </c>
      <c r="E3" s="36">
        <v>-8.3155532700000007E-2</v>
      </c>
      <c r="G3" s="42"/>
      <c r="H3" s="158" t="s">
        <v>41</v>
      </c>
      <c r="I3" s="159"/>
      <c r="K3" s="160" t="s">
        <v>42</v>
      </c>
      <c r="L3" s="159"/>
      <c r="N3" s="161" t="s">
        <v>43</v>
      </c>
      <c r="O3" s="162"/>
      <c r="Q3" s="41"/>
      <c r="R3" s="149" t="s">
        <v>33</v>
      </c>
      <c r="S3" s="150"/>
      <c r="U3" s="149" t="s">
        <v>34</v>
      </c>
      <c r="V3" s="150"/>
      <c r="X3" s="149" t="s">
        <v>35</v>
      </c>
      <c r="Y3" s="150"/>
    </row>
    <row r="4" spans="2:36" x14ac:dyDescent="0.25">
      <c r="B4" s="35">
        <v>3.25</v>
      </c>
      <c r="C4" s="36">
        <v>1.2620857037</v>
      </c>
      <c r="D4" s="36">
        <v>-1.9140290000000001E-2</v>
      </c>
      <c r="E4" s="36">
        <v>-6.16479796E-2</v>
      </c>
      <c r="G4" s="48" t="s">
        <v>1</v>
      </c>
      <c r="H4" s="49" t="s">
        <v>2</v>
      </c>
      <c r="I4" s="88">
        <v>0.74029999999999996</v>
      </c>
      <c r="K4" s="51" t="s">
        <v>27</v>
      </c>
      <c r="L4" s="88">
        <v>-2.9594999999999998</v>
      </c>
      <c r="N4" s="51" t="s">
        <v>31</v>
      </c>
      <c r="O4" s="102">
        <v>4.7100999999999997</v>
      </c>
      <c r="Q4" s="41" t="s">
        <v>1</v>
      </c>
      <c r="R4" s="43" t="s">
        <v>8</v>
      </c>
      <c r="S4" s="92">
        <v>0.14099999999999999</v>
      </c>
      <c r="T4" s="45"/>
      <c r="U4" s="46" t="s">
        <v>14</v>
      </c>
      <c r="V4" s="92">
        <v>-0.05</v>
      </c>
      <c r="W4" s="2"/>
      <c r="X4" s="43" t="s">
        <v>20</v>
      </c>
      <c r="Y4" s="126">
        <v>1.7050000000000001</v>
      </c>
      <c r="Z4" s="12"/>
      <c r="AA4" s="12"/>
      <c r="AB4" s="12"/>
      <c r="AC4" s="12"/>
      <c r="AD4" s="12"/>
      <c r="AE4" s="12"/>
      <c r="AG4" s="12"/>
      <c r="AH4" s="12"/>
      <c r="AI4" s="12"/>
      <c r="AJ4" s="12"/>
    </row>
    <row r="5" spans="2:36" x14ac:dyDescent="0.25">
      <c r="B5" s="35">
        <v>3.5</v>
      </c>
      <c r="C5" s="36">
        <v>1.1460066641</v>
      </c>
      <c r="D5" s="36">
        <v>-1.667884E-2</v>
      </c>
      <c r="E5" s="36">
        <v>-4.1957838599999998E-2</v>
      </c>
      <c r="G5" s="48" t="s">
        <v>49</v>
      </c>
      <c r="H5" s="49" t="s">
        <v>3</v>
      </c>
      <c r="I5" s="88">
        <v>-0.1595</v>
      </c>
      <c r="K5" s="52"/>
      <c r="L5" s="92"/>
      <c r="N5" s="51"/>
      <c r="O5" s="88"/>
      <c r="Q5" s="41" t="s">
        <v>67</v>
      </c>
      <c r="R5" s="43" t="s">
        <v>9</v>
      </c>
      <c r="S5" s="88">
        <v>-0.83940000000000003</v>
      </c>
      <c r="T5" s="45"/>
      <c r="U5" s="46" t="s">
        <v>15</v>
      </c>
      <c r="V5" s="92">
        <v>3.5373000000000001</v>
      </c>
      <c r="X5" s="43" t="s">
        <v>21</v>
      </c>
      <c r="Y5" s="126">
        <v>-39.28</v>
      </c>
      <c r="Z5" s="12"/>
      <c r="AA5" s="12"/>
      <c r="AB5" s="12"/>
      <c r="AC5" s="12"/>
      <c r="AD5" s="12"/>
      <c r="AE5" s="12"/>
      <c r="AG5" s="12"/>
      <c r="AH5" s="12"/>
      <c r="AI5" s="12"/>
      <c r="AJ5" s="12"/>
    </row>
    <row r="6" spans="2:36" ht="13.8" x14ac:dyDescent="0.25">
      <c r="B6" s="35">
        <v>3.75</v>
      </c>
      <c r="C6" s="36">
        <v>1.0381924875999999</v>
      </c>
      <c r="D6" s="36">
        <v>-1.468331E-2</v>
      </c>
      <c r="E6" s="36">
        <v>-2.41678712E-2</v>
      </c>
      <c r="G6" s="48" t="s">
        <v>48</v>
      </c>
      <c r="H6" s="49" t="s">
        <v>4</v>
      </c>
      <c r="I6" s="88">
        <v>-3.6600000000000001E-2</v>
      </c>
      <c r="K6" s="51" t="s">
        <v>28</v>
      </c>
      <c r="L6" s="88">
        <v>0.11559999999999999</v>
      </c>
      <c r="N6" s="51" t="s">
        <v>32</v>
      </c>
      <c r="O6" s="102">
        <v>-0.6774</v>
      </c>
      <c r="Q6" s="41" t="s">
        <v>68</v>
      </c>
      <c r="R6" s="43" t="s">
        <v>10</v>
      </c>
      <c r="S6" s="92">
        <v>2.3953000000000002</v>
      </c>
      <c r="T6" s="45"/>
      <c r="U6" s="46" t="s">
        <v>16</v>
      </c>
      <c r="V6" s="92">
        <v>-25.535599999999999</v>
      </c>
      <c r="X6" s="43" t="s">
        <v>22</v>
      </c>
      <c r="Y6" s="126">
        <v>287.10000000000002</v>
      </c>
      <c r="Z6" s="12"/>
      <c r="AA6" s="12"/>
      <c r="AB6" s="12"/>
      <c r="AC6" s="12"/>
      <c r="AD6" s="12"/>
      <c r="AE6" s="12"/>
      <c r="AG6" s="12"/>
      <c r="AH6" s="12"/>
      <c r="AI6" s="12"/>
      <c r="AJ6" s="12"/>
    </row>
    <row r="7" spans="2:36" ht="13.8" x14ac:dyDescent="0.25">
      <c r="B7" s="35">
        <v>4</v>
      </c>
      <c r="C7" s="36">
        <v>0.93767520380000002</v>
      </c>
      <c r="D7" s="36">
        <v>-1.3158420000000001E-2</v>
      </c>
      <c r="E7" s="36">
        <v>-8.5106518999999992E-3</v>
      </c>
      <c r="G7" s="48" t="s">
        <v>50</v>
      </c>
      <c r="H7" s="49" t="s">
        <v>5</v>
      </c>
      <c r="I7" s="89">
        <v>7.9000000000000008E-3</v>
      </c>
      <c r="K7" s="51" t="s">
        <v>29</v>
      </c>
      <c r="L7" s="88">
        <v>-3.8100000000000002E-2</v>
      </c>
      <c r="N7" s="51" t="s">
        <v>26</v>
      </c>
      <c r="O7" s="103" t="s">
        <v>35</v>
      </c>
      <c r="Q7" s="41" t="s">
        <v>69</v>
      </c>
      <c r="R7" s="43" t="s">
        <v>11</v>
      </c>
      <c r="S7" s="92">
        <v>-3.8845000000000001</v>
      </c>
      <c r="T7" s="45"/>
      <c r="U7" s="46" t="s">
        <v>17</v>
      </c>
      <c r="V7" s="92">
        <v>61.496299999999998</v>
      </c>
      <c r="X7" s="43" t="s">
        <v>23</v>
      </c>
      <c r="Y7" s="126">
        <v>-979.7</v>
      </c>
      <c r="Z7" s="12"/>
      <c r="AA7" s="12"/>
      <c r="AB7" s="12"/>
      <c r="AC7" s="12"/>
      <c r="AD7" s="12"/>
      <c r="AE7" s="12"/>
      <c r="AG7" s="12"/>
      <c r="AH7" s="12"/>
      <c r="AI7" s="12"/>
      <c r="AJ7" s="12"/>
    </row>
    <row r="8" spans="2:36" ht="13.8" x14ac:dyDescent="0.25">
      <c r="B8" s="35">
        <v>4.25</v>
      </c>
      <c r="C8" s="36">
        <v>0.84367628630000002</v>
      </c>
      <c r="D8" s="36">
        <v>-1.2170429999999999E-2</v>
      </c>
      <c r="E8" s="36">
        <v>4.7437655000000002E-3</v>
      </c>
      <c r="G8" s="48" t="s">
        <v>51</v>
      </c>
      <c r="H8" s="49" t="s">
        <v>6</v>
      </c>
      <c r="I8" s="88">
        <v>5.4999999999999997E-3</v>
      </c>
      <c r="K8" s="51" t="s">
        <v>30</v>
      </c>
      <c r="L8" s="88">
        <v>-0.22270000000000001</v>
      </c>
      <c r="N8" s="51"/>
      <c r="O8" s="88"/>
      <c r="Q8" s="41" t="s">
        <v>70</v>
      </c>
      <c r="R8" s="43" t="s">
        <v>12</v>
      </c>
      <c r="S8" s="92">
        <v>2.9921000000000002</v>
      </c>
      <c r="T8" s="45"/>
      <c r="U8" s="46" t="s">
        <v>18</v>
      </c>
      <c r="V8" s="92">
        <v>-59.618899999999996</v>
      </c>
      <c r="X8" s="43" t="s">
        <v>24</v>
      </c>
      <c r="Y8" s="126">
        <v>1818</v>
      </c>
      <c r="Z8" s="12"/>
      <c r="AA8" s="12"/>
      <c r="AB8" s="12"/>
      <c r="AC8" s="12"/>
      <c r="AD8" s="12"/>
      <c r="AE8" s="12"/>
      <c r="AG8" s="12"/>
      <c r="AH8" s="12"/>
      <c r="AI8" s="12"/>
      <c r="AJ8" s="12"/>
    </row>
    <row r="9" spans="2:36" ht="13.8" x14ac:dyDescent="0.25">
      <c r="B9" s="35">
        <v>4.5</v>
      </c>
      <c r="C9" s="36">
        <v>0.7555580274</v>
      </c>
      <c r="D9" s="36">
        <v>-1.1731480000000001E-2</v>
      </c>
      <c r="E9" s="36">
        <v>1.53257156E-2</v>
      </c>
      <c r="G9" s="48" t="s">
        <v>52</v>
      </c>
      <c r="H9" s="49" t="s">
        <v>38</v>
      </c>
      <c r="I9" s="88">
        <v>2.8299999999999999E-2</v>
      </c>
      <c r="K9" s="51" t="s">
        <v>44</v>
      </c>
      <c r="L9" s="88">
        <v>-0.1414</v>
      </c>
      <c r="N9" s="51"/>
      <c r="O9" s="88"/>
      <c r="Q9" s="41" t="s">
        <v>71</v>
      </c>
      <c r="R9" s="43" t="s">
        <v>13</v>
      </c>
      <c r="S9" s="92">
        <v>-0.87029999999999996</v>
      </c>
      <c r="T9" s="45"/>
      <c r="U9" s="46" t="s">
        <v>19</v>
      </c>
      <c r="V9" s="92">
        <v>20.682400000000001</v>
      </c>
      <c r="X9" s="43" t="s">
        <v>25</v>
      </c>
      <c r="Y9" s="126">
        <v>-1908</v>
      </c>
      <c r="Z9" s="12"/>
      <c r="AA9" s="12"/>
      <c r="AB9" s="12"/>
      <c r="AC9" s="12"/>
      <c r="AD9" s="12"/>
      <c r="AE9" s="12"/>
      <c r="AG9" s="12"/>
      <c r="AH9" s="12"/>
      <c r="AI9" s="12"/>
      <c r="AJ9" s="12"/>
    </row>
    <row r="10" spans="2:36" ht="13.8" x14ac:dyDescent="0.25">
      <c r="B10" s="35">
        <v>4.75</v>
      </c>
      <c r="C10" s="36">
        <v>0.67288044550000004</v>
      </c>
      <c r="D10" s="36">
        <v>-1.1861740000000001E-2</v>
      </c>
      <c r="E10" s="36">
        <v>2.32354208E-2</v>
      </c>
      <c r="G10" s="132" t="s">
        <v>171</v>
      </c>
      <c r="H10" s="51" t="s">
        <v>169</v>
      </c>
      <c r="I10" s="88">
        <v>1.06E-2</v>
      </c>
      <c r="K10" s="51" t="s">
        <v>170</v>
      </c>
      <c r="L10" s="88">
        <v>-8.5999999999999993E-2</v>
      </c>
      <c r="N10" s="51"/>
      <c r="O10" s="88"/>
      <c r="Q10" s="41" t="s">
        <v>72</v>
      </c>
      <c r="R10" s="43"/>
      <c r="S10" s="53"/>
      <c r="U10" s="43"/>
      <c r="V10" s="54"/>
      <c r="X10" s="43" t="s">
        <v>39</v>
      </c>
      <c r="Y10" s="126">
        <v>1067</v>
      </c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</row>
    <row r="11" spans="2:36" ht="13.8" x14ac:dyDescent="0.25">
      <c r="B11" s="35">
        <v>5</v>
      </c>
      <c r="C11" s="36">
        <v>0.59533467470000001</v>
      </c>
      <c r="D11" s="36">
        <v>-1.2549060000000001E-2</v>
      </c>
      <c r="E11" s="36">
        <v>2.87440708E-2</v>
      </c>
      <c r="G11" s="56"/>
      <c r="H11" s="57"/>
      <c r="I11" s="95" t="s">
        <v>33</v>
      </c>
      <c r="K11" s="59"/>
      <c r="L11" s="95" t="s">
        <v>34</v>
      </c>
      <c r="N11" s="59"/>
      <c r="O11" s="104"/>
      <c r="Q11" s="64" t="s">
        <v>133</v>
      </c>
      <c r="R11" s="61"/>
      <c r="S11" s="62"/>
      <c r="U11" s="61"/>
      <c r="V11" s="62"/>
      <c r="X11" s="61" t="s">
        <v>40</v>
      </c>
      <c r="Y11" s="126">
        <v>-247.7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 spans="2:36" x14ac:dyDescent="0.25">
      <c r="B12" s="35">
        <v>5.25</v>
      </c>
      <c r="C12" s="36">
        <v>0.5227296776</v>
      </c>
      <c r="D12" s="36">
        <v>-1.361278E-2</v>
      </c>
      <c r="E12" s="36">
        <v>3.2261161400000002E-2</v>
      </c>
    </row>
    <row r="13" spans="2:36" ht="14.25" customHeight="1" x14ac:dyDescent="0.25">
      <c r="B13" s="35">
        <v>5.5</v>
      </c>
      <c r="C13" s="36">
        <v>0.45494101469999998</v>
      </c>
      <c r="D13" s="36">
        <v>-1.478871E-2</v>
      </c>
      <c r="E13" s="36">
        <v>3.4244260399999997E-2</v>
      </c>
      <c r="G13" s="7"/>
      <c r="H13" s="7"/>
      <c r="I13" s="96"/>
      <c r="J13" s="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35"/>
      <c r="AA13" s="12"/>
      <c r="AB13" s="12"/>
      <c r="AC13" s="12"/>
    </row>
    <row r="14" spans="2:36" ht="12.75" customHeight="1" x14ac:dyDescent="0.25">
      <c r="B14" s="35">
        <v>5.75</v>
      </c>
      <c r="C14" s="36">
        <v>0.39180461049999998</v>
      </c>
      <c r="D14" s="36">
        <v>-1.585905E-2</v>
      </c>
      <c r="E14" s="36">
        <v>3.5059701200000001E-2</v>
      </c>
      <c r="G14" s="7"/>
      <c r="H14" s="7"/>
      <c r="I14" s="96"/>
      <c r="J14" s="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12"/>
      <c r="AC14" s="12"/>
    </row>
    <row r="15" spans="2:36" x14ac:dyDescent="0.25">
      <c r="B15" s="35">
        <v>6</v>
      </c>
      <c r="C15" s="36">
        <v>0.33313558970000001</v>
      </c>
      <c r="D15" s="36">
        <v>-1.6655860000000001E-2</v>
      </c>
      <c r="E15" s="36">
        <v>3.50464651E-2</v>
      </c>
      <c r="F15" s="3"/>
      <c r="G15" s="2" t="s">
        <v>36</v>
      </c>
      <c r="H15" s="7"/>
      <c r="I15" s="96"/>
      <c r="J15" s="5"/>
      <c r="O15" s="85"/>
      <c r="P15" s="85"/>
      <c r="Q15" s="35"/>
      <c r="R15" s="35"/>
      <c r="S15" s="35"/>
      <c r="T15" s="35"/>
      <c r="U15" s="85"/>
      <c r="V15" s="85"/>
      <c r="W15" s="85"/>
      <c r="X15" s="85"/>
      <c r="Y15" s="85"/>
      <c r="Z15" s="85"/>
      <c r="AA15" s="85"/>
      <c r="AB15" s="12"/>
      <c r="AC15" s="12"/>
    </row>
    <row r="16" spans="2:36" x14ac:dyDescent="0.25">
      <c r="B16" s="35">
        <v>6.25</v>
      </c>
      <c r="C16" s="36">
        <v>0.27875321279999998</v>
      </c>
      <c r="D16" s="36">
        <v>-1.711992E-2</v>
      </c>
      <c r="E16" s="36">
        <v>3.4548973199999999E-2</v>
      </c>
      <c r="G16" s="1" t="s">
        <v>74</v>
      </c>
      <c r="J16" s="5"/>
      <c r="O16" s="85"/>
      <c r="P16" s="85"/>
      <c r="Q16" s="35"/>
      <c r="R16" s="35"/>
      <c r="S16" s="35"/>
      <c r="T16" s="35"/>
      <c r="U16" s="85"/>
      <c r="V16" s="85"/>
      <c r="W16" s="85"/>
      <c r="X16" s="85"/>
      <c r="Y16" s="85"/>
      <c r="Z16" s="85"/>
      <c r="AA16" s="85"/>
      <c r="AB16" s="12"/>
      <c r="AC16" s="12"/>
    </row>
    <row r="17" spans="2:29" x14ac:dyDescent="0.25">
      <c r="B17" s="35">
        <v>6.5</v>
      </c>
      <c r="C17" s="36">
        <v>0.2284993977</v>
      </c>
      <c r="D17" s="36">
        <v>-1.729294E-2</v>
      </c>
      <c r="E17" s="36">
        <v>3.38545731E-2</v>
      </c>
      <c r="G17" s="1" t="s">
        <v>73</v>
      </c>
      <c r="J17" s="5"/>
      <c r="O17" s="85"/>
      <c r="P17" s="35"/>
      <c r="Q17" s="35"/>
      <c r="R17" s="35"/>
      <c r="S17" s="85"/>
      <c r="T17" s="35"/>
      <c r="U17" s="85"/>
      <c r="V17" s="85"/>
      <c r="W17" s="85"/>
      <c r="X17" s="85"/>
      <c r="Y17" s="85"/>
      <c r="Z17" s="85"/>
      <c r="AA17" s="85"/>
      <c r="AB17" s="85"/>
      <c r="AC17" s="85"/>
    </row>
    <row r="18" spans="2:29" ht="13.8" x14ac:dyDescent="0.25">
      <c r="B18" s="35">
        <v>6.75</v>
      </c>
      <c r="C18" s="36">
        <v>0.18223531879999999</v>
      </c>
      <c r="D18" s="36">
        <v>-1.7213389999999999E-2</v>
      </c>
      <c r="E18" s="36">
        <v>3.3196176700000003E-2</v>
      </c>
      <c r="G18" s="1" t="s">
        <v>37</v>
      </c>
      <c r="J18" s="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</row>
    <row r="19" spans="2:29" x14ac:dyDescent="0.25">
      <c r="B19" s="35">
        <v>7</v>
      </c>
      <c r="C19" s="36">
        <v>0.13974517089999999</v>
      </c>
      <c r="D19" s="36">
        <v>-1.6874489999999999E-2</v>
      </c>
      <c r="E19" s="36">
        <v>3.2678172399999997E-2</v>
      </c>
      <c r="J19" s="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</row>
    <row r="20" spans="2:29" x14ac:dyDescent="0.25">
      <c r="B20" s="35">
        <v>7.25</v>
      </c>
      <c r="C20" s="36">
        <v>0.10077296650000001</v>
      </c>
      <c r="D20" s="36">
        <v>-1.6299000000000001E-2</v>
      </c>
      <c r="E20" s="36">
        <v>3.22544092E-2</v>
      </c>
      <c r="G20" s="1" t="s">
        <v>82</v>
      </c>
      <c r="J20" s="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</row>
    <row r="21" spans="2:29" x14ac:dyDescent="0.25">
      <c r="B21" s="35">
        <v>7.5</v>
      </c>
      <c r="C21" s="36">
        <v>6.5066708400000006E-2</v>
      </c>
      <c r="D21" s="36">
        <v>-1.5560610000000001E-2</v>
      </c>
      <c r="E21" s="36">
        <v>3.1761850899999999E-2</v>
      </c>
      <c r="G21" s="1" t="s">
        <v>81</v>
      </c>
      <c r="J21" s="5"/>
      <c r="O21" s="85"/>
      <c r="P21" s="3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</row>
    <row r="22" spans="2:29" x14ac:dyDescent="0.25">
      <c r="B22" s="35">
        <v>7.75</v>
      </c>
      <c r="C22" s="36">
        <v>3.2419882999999997E-2</v>
      </c>
      <c r="D22" s="36">
        <v>-1.4759009999999999E-2</v>
      </c>
      <c r="E22" s="36">
        <v>3.1002872300000001E-2</v>
      </c>
      <c r="G22" s="1" t="s">
        <v>75</v>
      </c>
      <c r="H22" s="1" t="s">
        <v>76</v>
      </c>
      <c r="J22" s="5"/>
      <c r="O22" s="85"/>
      <c r="P22" s="3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</row>
    <row r="23" spans="2:29" x14ac:dyDescent="0.25">
      <c r="B23" s="35">
        <v>8</v>
      </c>
      <c r="C23" s="36">
        <v>2.6494466E-3</v>
      </c>
      <c r="D23" s="36">
        <v>-1.401177E-2</v>
      </c>
      <c r="E23" s="36">
        <v>2.9766080899999998E-2</v>
      </c>
      <c r="G23" s="1" t="s">
        <v>77</v>
      </c>
      <c r="H23" s="1" t="s">
        <v>78</v>
      </c>
      <c r="J23" s="5"/>
      <c r="O23" s="85"/>
      <c r="P23" s="35"/>
      <c r="Q23" s="85"/>
      <c r="R23" s="85"/>
      <c r="S23" s="85"/>
      <c r="T23" s="85"/>
      <c r="U23" s="85"/>
      <c r="V23" s="85"/>
      <c r="W23" s="85"/>
      <c r="X23" s="85"/>
      <c r="Y23" s="125"/>
      <c r="Z23" s="85"/>
      <c r="AA23" s="85"/>
      <c r="AB23" s="85"/>
      <c r="AC23" s="85"/>
    </row>
    <row r="24" spans="2:29" x14ac:dyDescent="0.25">
      <c r="B24" s="35">
        <v>8.25</v>
      </c>
      <c r="C24" s="36">
        <v>-2.4421093299999998E-2</v>
      </c>
      <c r="D24" s="36">
        <v>-1.3437849999999999E-2</v>
      </c>
      <c r="E24" s="36">
        <v>2.7809771300000001E-2</v>
      </c>
      <c r="G24" s="1" t="s">
        <v>79</v>
      </c>
      <c r="H24" s="1" t="s">
        <v>80</v>
      </c>
      <c r="J24" s="5"/>
      <c r="O24" s="85"/>
      <c r="P24" s="35"/>
      <c r="Q24" s="85"/>
      <c r="R24" s="85"/>
      <c r="S24" s="85"/>
      <c r="T24" s="85"/>
      <c r="U24" s="85"/>
      <c r="V24" s="85"/>
      <c r="W24" s="85"/>
      <c r="X24" s="85"/>
      <c r="Y24" s="125"/>
      <c r="Z24" s="85"/>
      <c r="AA24" s="85"/>
      <c r="AB24" s="85"/>
      <c r="AC24" s="85"/>
    </row>
    <row r="25" spans="2:29" x14ac:dyDescent="0.25">
      <c r="B25" s="35">
        <v>8.5</v>
      </c>
      <c r="C25" s="36">
        <v>-4.8967341599999999E-2</v>
      </c>
      <c r="D25" s="36">
        <v>-1.313989E-2</v>
      </c>
      <c r="E25" s="36">
        <v>2.48771806E-2</v>
      </c>
      <c r="G25" s="1" t="s">
        <v>171</v>
      </c>
      <c r="H25" s="1" t="s">
        <v>172</v>
      </c>
      <c r="J25" s="5"/>
      <c r="O25" s="85"/>
      <c r="P25" s="35"/>
      <c r="Q25" s="85"/>
      <c r="R25" s="85"/>
      <c r="S25" s="85"/>
      <c r="T25" s="85"/>
      <c r="U25" s="85"/>
      <c r="V25" s="85"/>
      <c r="W25" s="85"/>
      <c r="X25" s="85"/>
      <c r="Y25" s="125"/>
      <c r="Z25" s="85"/>
      <c r="AA25" s="85"/>
      <c r="AB25" s="85"/>
      <c r="AC25" s="85"/>
    </row>
    <row r="26" spans="2:29" x14ac:dyDescent="0.25">
      <c r="B26" s="35">
        <v>8.75</v>
      </c>
      <c r="C26" s="36">
        <v>-7.1152368300000005E-2</v>
      </c>
      <c r="D26" s="36">
        <v>-1.31929E-2</v>
      </c>
      <c r="E26" s="36">
        <v>2.0836238999999999E-2</v>
      </c>
      <c r="J26" s="5"/>
      <c r="O26" s="85"/>
      <c r="P26" s="35"/>
      <c r="Q26" s="85"/>
      <c r="R26" s="85"/>
      <c r="S26" s="85"/>
      <c r="T26" s="85"/>
      <c r="U26" s="85"/>
      <c r="V26" s="85"/>
      <c r="W26" s="85"/>
      <c r="X26" s="85"/>
      <c r="Y26" s="125"/>
      <c r="Z26" s="85"/>
      <c r="AA26" s="85"/>
      <c r="AB26" s="85"/>
      <c r="AC26" s="85"/>
    </row>
    <row r="27" spans="2:29" x14ac:dyDescent="0.25">
      <c r="B27" s="35">
        <v>9</v>
      </c>
      <c r="C27" s="36">
        <v>-9.1159399500000002E-2</v>
      </c>
      <c r="D27" s="36">
        <v>-1.3502810000000001E-2</v>
      </c>
      <c r="E27" s="36">
        <v>1.5889570799999999E-2</v>
      </c>
      <c r="G27" s="11" t="s">
        <v>7</v>
      </c>
      <c r="J27" s="5"/>
      <c r="O27" s="85"/>
      <c r="P27" s="35"/>
      <c r="Q27" s="85"/>
      <c r="R27" s="85"/>
      <c r="S27" s="85"/>
      <c r="T27" s="85"/>
      <c r="U27" s="85"/>
      <c r="V27" s="85"/>
      <c r="W27" s="85"/>
      <c r="X27" s="85"/>
      <c r="Y27" s="125"/>
      <c r="Z27" s="85"/>
      <c r="AA27" s="85"/>
      <c r="AB27" s="85"/>
      <c r="AC27" s="85"/>
    </row>
    <row r="28" spans="2:29" x14ac:dyDescent="0.25">
      <c r="B28" s="35">
        <v>9.25</v>
      </c>
      <c r="C28" s="36">
        <v>-0.109177539</v>
      </c>
      <c r="D28" s="36">
        <v>-1.389113E-2</v>
      </c>
      <c r="E28" s="36">
        <v>1.0417810899999999E-2</v>
      </c>
      <c r="G28" s="9" t="s">
        <v>45</v>
      </c>
      <c r="J28" s="5"/>
      <c r="O28" s="85"/>
      <c r="P28" s="35"/>
      <c r="Q28" s="85"/>
      <c r="R28" s="85"/>
      <c r="S28" s="85"/>
      <c r="T28" s="85"/>
      <c r="U28" s="85"/>
      <c r="V28" s="85"/>
      <c r="W28" s="85"/>
      <c r="X28" s="85"/>
      <c r="Y28" s="125"/>
      <c r="Z28" s="85"/>
      <c r="AA28" s="85"/>
      <c r="AB28" s="85"/>
      <c r="AC28" s="85"/>
    </row>
    <row r="29" spans="2:29" x14ac:dyDescent="0.25">
      <c r="B29" s="35">
        <v>9.5</v>
      </c>
      <c r="C29" s="36">
        <v>-0.12540345259999999</v>
      </c>
      <c r="D29" s="36">
        <v>-1.420561E-2</v>
      </c>
      <c r="E29" s="36">
        <v>4.8031031E-3</v>
      </c>
      <c r="G29" s="9"/>
      <c r="J29" s="5"/>
      <c r="O29" s="85"/>
      <c r="P29" s="35"/>
      <c r="Q29" s="85"/>
      <c r="R29" s="85"/>
      <c r="S29" s="85"/>
      <c r="T29" s="85"/>
      <c r="U29" s="85"/>
      <c r="V29" s="85"/>
      <c r="W29" s="85"/>
      <c r="X29" s="85"/>
      <c r="Y29" s="125"/>
      <c r="Z29" s="85"/>
      <c r="AA29" s="85"/>
      <c r="AB29" s="85"/>
      <c r="AC29" s="85"/>
    </row>
    <row r="30" spans="2:29" x14ac:dyDescent="0.25">
      <c r="B30" s="35">
        <v>9.75</v>
      </c>
      <c r="C30" s="36">
        <v>-0.1400401107</v>
      </c>
      <c r="D30" s="36">
        <v>-1.434906E-2</v>
      </c>
      <c r="E30" s="36">
        <v>-6.5796370000000004E-4</v>
      </c>
      <c r="G30" s="60" t="s">
        <v>54</v>
      </c>
      <c r="J30" s="5"/>
      <c r="O30" s="85"/>
      <c r="P30" s="35"/>
      <c r="Q30" s="85"/>
      <c r="R30" s="85"/>
      <c r="S30" s="85"/>
      <c r="T30" s="85"/>
      <c r="U30" s="85"/>
      <c r="V30" s="85"/>
      <c r="W30" s="85"/>
      <c r="X30" s="85"/>
      <c r="Y30" s="125"/>
      <c r="Z30" s="85"/>
      <c r="AA30" s="85"/>
      <c r="AB30" s="85"/>
      <c r="AC30" s="85"/>
    </row>
    <row r="31" spans="2:29" x14ac:dyDescent="0.25">
      <c r="B31" s="35">
        <v>10</v>
      </c>
      <c r="C31" s="36">
        <v>-0.15328189610000001</v>
      </c>
      <c r="D31" s="36">
        <v>-1.4257779999999999E-2</v>
      </c>
      <c r="E31" s="36">
        <v>-5.7561252E-3</v>
      </c>
      <c r="G31" s="10" t="s">
        <v>175</v>
      </c>
      <c r="J31" s="5"/>
      <c r="O31" s="85"/>
      <c r="P31" s="3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</row>
    <row r="32" spans="2:29" x14ac:dyDescent="0.25">
      <c r="B32" s="35">
        <v>10.25</v>
      </c>
      <c r="C32" s="36">
        <v>-0.1652984555</v>
      </c>
      <c r="D32" s="36">
        <v>-1.3884779999999999E-2</v>
      </c>
      <c r="E32" s="36">
        <v>-1.03468439E-2</v>
      </c>
      <c r="G32" s="10" t="s">
        <v>53</v>
      </c>
      <c r="J32" s="5"/>
      <c r="L32" s="106"/>
      <c r="M32" s="23"/>
      <c r="O32" s="85"/>
      <c r="P32" s="3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</row>
    <row r="33" spans="2:29" ht="12" customHeight="1" x14ac:dyDescent="0.25">
      <c r="B33" s="35">
        <v>10.5</v>
      </c>
      <c r="C33" s="36">
        <v>-0.176241223</v>
      </c>
      <c r="D33" s="36">
        <v>-1.319707E-2</v>
      </c>
      <c r="E33" s="36">
        <v>-1.43458141E-2</v>
      </c>
      <c r="G33" s="1" t="s">
        <v>55</v>
      </c>
      <c r="I33" s="36"/>
      <c r="J33" s="35"/>
      <c r="L33" s="106"/>
      <c r="M33" s="23"/>
      <c r="O33" s="85"/>
      <c r="P33" s="3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</row>
    <row r="34" spans="2:29" x14ac:dyDescent="0.25">
      <c r="B34" s="35">
        <v>10.75</v>
      </c>
      <c r="C34" s="36">
        <v>-0.1862276783</v>
      </c>
      <c r="D34" s="36">
        <v>-1.2170520000000001E-2</v>
      </c>
      <c r="E34" s="36">
        <v>-1.7699284700000002E-2</v>
      </c>
      <c r="H34" s="35"/>
      <c r="J34" s="35"/>
      <c r="K34" s="85"/>
      <c r="L34" s="96"/>
      <c r="M34" s="7"/>
      <c r="O34" s="85"/>
      <c r="P34" s="3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</row>
    <row r="35" spans="2:29" x14ac:dyDescent="0.25">
      <c r="B35" s="35">
        <v>11</v>
      </c>
      <c r="C35" s="36">
        <v>-0.1953403655</v>
      </c>
      <c r="D35" s="36">
        <v>-1.079309E-2</v>
      </c>
      <c r="E35" s="36">
        <v>-2.0350238400000002E-2</v>
      </c>
      <c r="H35" s="85"/>
      <c r="J35" s="35"/>
      <c r="K35" s="85"/>
      <c r="L35" s="96"/>
      <c r="M35" s="7"/>
      <c r="O35" s="85"/>
      <c r="P35" s="3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</row>
    <row r="36" spans="2:29" x14ac:dyDescent="0.25">
      <c r="B36" s="35">
        <v>11.25</v>
      </c>
      <c r="C36" s="36">
        <v>-0.2036398368</v>
      </c>
      <c r="D36" s="36">
        <v>-9.0689819999999997E-3</v>
      </c>
      <c r="E36" s="36">
        <v>-2.22651208E-2</v>
      </c>
      <c r="H36" s="85"/>
      <c r="J36" s="35"/>
      <c r="K36" s="85"/>
      <c r="L36" s="96"/>
      <c r="M36" s="7"/>
      <c r="O36" s="85"/>
      <c r="P36" s="23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</row>
    <row r="37" spans="2:29" x14ac:dyDescent="0.25">
      <c r="B37" s="35">
        <v>11.5</v>
      </c>
      <c r="C37" s="36">
        <v>-0.21117188880000001</v>
      </c>
      <c r="D37" s="36">
        <v>-7.0221789999999999E-3</v>
      </c>
      <c r="E37" s="36">
        <v>-2.3452607899999998E-2</v>
      </c>
      <c r="H37" s="85"/>
      <c r="J37" s="35"/>
      <c r="K37" s="85"/>
      <c r="M37" s="5"/>
      <c r="O37" s="106"/>
      <c r="P37" s="23"/>
      <c r="R37" s="23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</row>
    <row r="38" spans="2:29" x14ac:dyDescent="0.25">
      <c r="B38" s="35">
        <v>11.75</v>
      </c>
      <c r="C38" s="36">
        <v>-0.2179613326</v>
      </c>
      <c r="D38" s="36">
        <v>-4.6959510000000003E-3</v>
      </c>
      <c r="E38" s="36">
        <v>-2.39397727E-2</v>
      </c>
      <c r="H38" s="85"/>
      <c r="J38" s="35"/>
      <c r="K38" s="85"/>
      <c r="M38" s="5"/>
      <c r="O38" s="106"/>
      <c r="P38" s="23"/>
      <c r="R38" s="23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</row>
    <row r="39" spans="2:29" x14ac:dyDescent="0.25">
      <c r="B39" s="35">
        <v>12</v>
      </c>
      <c r="C39" s="36">
        <v>-0.22402118430000001</v>
      </c>
      <c r="D39" s="36">
        <v>-2.1356510000000001E-3</v>
      </c>
      <c r="E39" s="36">
        <v>-2.37678126E-2</v>
      </c>
      <c r="H39" s="85"/>
      <c r="J39" s="35"/>
      <c r="K39" s="85"/>
      <c r="M39" s="5"/>
      <c r="O39" s="106"/>
      <c r="P39" s="23"/>
      <c r="R39" s="23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</row>
    <row r="40" spans="2:29" x14ac:dyDescent="0.25">
      <c r="B40" s="35">
        <v>12.25</v>
      </c>
      <c r="C40" s="36">
        <v>-0.2293521178</v>
      </c>
      <c r="D40" s="36">
        <v>6.149746E-4</v>
      </c>
      <c r="E40" s="36">
        <v>-2.29827622E-2</v>
      </c>
      <c r="H40" s="85"/>
      <c r="J40" s="35"/>
      <c r="K40" s="85"/>
      <c r="M40" s="5"/>
      <c r="O40" s="106"/>
      <c r="P40" s="23"/>
      <c r="R40" s="23"/>
      <c r="S40" s="35"/>
    </row>
    <row r="41" spans="2:29" x14ac:dyDescent="0.25">
      <c r="B41" s="35">
        <v>12.5</v>
      </c>
      <c r="C41" s="36">
        <v>-0.2339539484</v>
      </c>
      <c r="D41" s="36">
        <v>3.510923E-3</v>
      </c>
      <c r="E41" s="36">
        <v>-2.1655325400000001E-2</v>
      </c>
      <c r="H41" s="85"/>
      <c r="J41" s="35"/>
      <c r="K41" s="85"/>
      <c r="M41" s="5"/>
      <c r="O41" s="106"/>
      <c r="P41" s="23"/>
      <c r="R41" s="23"/>
      <c r="S41" s="35"/>
    </row>
    <row r="42" spans="2:29" x14ac:dyDescent="0.25">
      <c r="B42" s="35">
        <v>12.75</v>
      </c>
      <c r="C42" s="36">
        <v>-0.23782507289999999</v>
      </c>
      <c r="D42" s="36">
        <v>6.5054880000000002E-3</v>
      </c>
      <c r="E42" s="36">
        <v>-1.9871347599999999E-2</v>
      </c>
      <c r="H42" s="85"/>
      <c r="J42" s="35"/>
      <c r="K42" s="85"/>
      <c r="M42" s="5"/>
      <c r="O42" s="106"/>
      <c r="P42" s="23"/>
      <c r="R42" s="23"/>
      <c r="S42" s="35"/>
    </row>
    <row r="43" spans="2:29" x14ac:dyDescent="0.25">
      <c r="B43" s="35">
        <v>13</v>
      </c>
      <c r="C43" s="36">
        <v>-0.24096901330000001</v>
      </c>
      <c r="D43" s="36">
        <v>9.5495509999999999E-3</v>
      </c>
      <c r="E43" s="36">
        <v>-1.7720105199999999E-2</v>
      </c>
      <c r="H43" s="85"/>
      <c r="J43" s="35"/>
      <c r="K43" s="85"/>
      <c r="M43" s="5"/>
      <c r="O43" s="106"/>
      <c r="P43" s="7"/>
      <c r="R43" s="7"/>
      <c r="S43" s="35"/>
    </row>
    <row r="44" spans="2:29" x14ac:dyDescent="0.25">
      <c r="B44" s="35">
        <v>13.25</v>
      </c>
      <c r="C44" s="36">
        <v>-0.2433985202</v>
      </c>
      <c r="D44" s="36">
        <v>1.2600750000000001E-2</v>
      </c>
      <c r="E44" s="36">
        <v>-1.52823443E-2</v>
      </c>
      <c r="H44" s="85"/>
      <c r="J44" s="35"/>
      <c r="K44" s="85"/>
      <c r="M44" s="5"/>
      <c r="O44" s="96"/>
      <c r="P44" s="7"/>
      <c r="R44" s="7"/>
      <c r="S44" s="35"/>
    </row>
    <row r="45" spans="2:29" x14ac:dyDescent="0.25">
      <c r="B45" s="35">
        <v>13.5</v>
      </c>
      <c r="C45" s="36">
        <v>-0.24513325050000001</v>
      </c>
      <c r="D45" s="36">
        <v>1.5624600000000001E-2</v>
      </c>
      <c r="E45" s="36">
        <v>-1.2622344000000001E-2</v>
      </c>
      <c r="H45" s="85"/>
      <c r="J45" s="35"/>
      <c r="K45" s="85"/>
      <c r="M45" s="5"/>
      <c r="O45" s="96"/>
      <c r="P45" s="7"/>
      <c r="R45" s="7"/>
      <c r="S45" s="35"/>
    </row>
    <row r="46" spans="2:29" x14ac:dyDescent="0.25">
      <c r="B46" s="35">
        <v>13.75</v>
      </c>
      <c r="C46" s="36">
        <v>-0.2462014324</v>
      </c>
      <c r="D46" s="36">
        <v>1.8591110000000001E-2</v>
      </c>
      <c r="E46" s="36">
        <v>-9.7857542999999995E-3</v>
      </c>
      <c r="H46" s="85"/>
      <c r="J46" s="35"/>
      <c r="K46" s="85"/>
      <c r="M46" s="5"/>
      <c r="O46" s="96"/>
      <c r="S46" s="35"/>
    </row>
    <row r="47" spans="2:29" ht="12" customHeight="1" x14ac:dyDescent="0.25">
      <c r="B47" s="35">
        <v>14</v>
      </c>
      <c r="C47" s="36">
        <v>-0.24663587579999999</v>
      </c>
      <c r="D47" s="36">
        <v>2.147073E-2</v>
      </c>
      <c r="E47" s="36">
        <v>-6.8121726000000002E-3</v>
      </c>
      <c r="H47" s="85"/>
      <c r="J47" s="35"/>
      <c r="K47" s="85"/>
      <c r="M47" s="5"/>
      <c r="S47" s="35"/>
    </row>
    <row r="48" spans="2:29" x14ac:dyDescent="0.25">
      <c r="B48" s="35">
        <v>14.25</v>
      </c>
      <c r="C48" s="36">
        <v>-0.24646936999999999</v>
      </c>
      <c r="D48" s="36">
        <v>2.423179E-2</v>
      </c>
      <c r="E48" s="36">
        <v>-3.7539169999999998E-3</v>
      </c>
      <c r="H48" s="85"/>
      <c r="J48" s="35"/>
      <c r="K48" s="85"/>
      <c r="M48" s="5"/>
      <c r="P48" s="23"/>
      <c r="S48" s="35"/>
    </row>
    <row r="49" spans="2:19" x14ac:dyDescent="0.25">
      <c r="B49" s="35">
        <v>14.5</v>
      </c>
      <c r="C49" s="36">
        <v>-0.24573645350000001</v>
      </c>
      <c r="D49" s="36">
        <v>2.684421E-2</v>
      </c>
      <c r="E49" s="36">
        <v>-6.713178E-4</v>
      </c>
      <c r="H49" s="85"/>
      <c r="J49" s="35"/>
      <c r="M49" s="5"/>
      <c r="O49" s="106"/>
      <c r="P49" s="23"/>
      <c r="S49" s="35"/>
    </row>
    <row r="50" spans="2:19" x14ac:dyDescent="0.25">
      <c r="B50" s="35">
        <v>14.75</v>
      </c>
      <c r="C50" s="36">
        <v>-0.24447248990000001</v>
      </c>
      <c r="D50" s="36">
        <v>2.9285039999999998E-2</v>
      </c>
      <c r="E50" s="36">
        <v>2.3834428999999998E-3</v>
      </c>
      <c r="H50" s="85"/>
      <c r="J50" s="35"/>
      <c r="M50" s="5"/>
      <c r="O50" s="106"/>
      <c r="P50" s="23"/>
      <c r="S50" s="35"/>
    </row>
    <row r="51" spans="2:19" x14ac:dyDescent="0.25">
      <c r="B51" s="35">
        <v>15</v>
      </c>
      <c r="C51" s="36">
        <v>-0.24271203089999999</v>
      </c>
      <c r="D51" s="36">
        <v>3.1536450000000001E-2</v>
      </c>
      <c r="E51" s="36">
        <v>5.3638260000000004E-3</v>
      </c>
      <c r="H51" s="85"/>
      <c r="J51" s="35"/>
      <c r="M51" s="5"/>
      <c r="O51" s="106"/>
      <c r="P51" s="23"/>
      <c r="S51" s="35"/>
    </row>
    <row r="52" spans="2:19" x14ac:dyDescent="0.25">
      <c r="B52" s="35">
        <v>15.25</v>
      </c>
      <c r="C52" s="36">
        <v>-0.240486739</v>
      </c>
      <c r="D52" s="36">
        <v>3.3585249999999997E-2</v>
      </c>
      <c r="E52" s="36">
        <v>8.2314302000000006E-3</v>
      </c>
      <c r="H52" s="85"/>
      <c r="J52" s="35"/>
      <c r="M52" s="5"/>
      <c r="O52" s="106"/>
      <c r="P52" s="23"/>
      <c r="S52" s="35"/>
    </row>
    <row r="53" spans="2:19" x14ac:dyDescent="0.25">
      <c r="B53" s="35">
        <v>15.5</v>
      </c>
      <c r="C53" s="36">
        <v>-0.23782561830000001</v>
      </c>
      <c r="D53" s="36">
        <v>3.5422139999999998E-2</v>
      </c>
      <c r="E53" s="36">
        <v>1.0953532300000001E-2</v>
      </c>
      <c r="H53" s="85"/>
      <c r="J53" s="35"/>
      <c r="M53" s="5"/>
      <c r="O53" s="106"/>
      <c r="P53" s="23"/>
      <c r="S53" s="35"/>
    </row>
    <row r="54" spans="2:19" x14ac:dyDescent="0.25">
      <c r="B54" s="35">
        <v>15.75</v>
      </c>
      <c r="C54" s="36">
        <v>-0.23475667189999999</v>
      </c>
      <c r="D54" s="36">
        <v>3.7043819999999998E-2</v>
      </c>
      <c r="E54" s="36">
        <v>1.3503675200000001E-2</v>
      </c>
      <c r="H54" s="85"/>
      <c r="J54" s="35"/>
      <c r="M54" s="5"/>
      <c r="O54" s="106"/>
      <c r="P54" s="23"/>
      <c r="S54" s="35"/>
    </row>
    <row r="55" spans="2:19" x14ac:dyDescent="0.25">
      <c r="B55" s="35">
        <v>16</v>
      </c>
      <c r="C55" s="36">
        <v>-0.23130707480000001</v>
      </c>
      <c r="D55" s="36">
        <v>3.845005E-2</v>
      </c>
      <c r="E55" s="36">
        <v>1.5864139499999999E-2</v>
      </c>
      <c r="H55" s="85"/>
      <c r="J55" s="35"/>
      <c r="M55" s="5"/>
      <c r="O55" s="106"/>
      <c r="P55" s="23"/>
      <c r="S55" s="35"/>
    </row>
    <row r="56" spans="2:19" x14ac:dyDescent="0.25">
      <c r="B56" s="35">
        <v>16.25</v>
      </c>
      <c r="C56" s="36">
        <v>-0.22749979200000001</v>
      </c>
      <c r="D56" s="36">
        <v>3.9642860000000002E-2</v>
      </c>
      <c r="E56" s="36">
        <v>1.8028441900000001E-2</v>
      </c>
      <c r="H56" s="85"/>
      <c r="J56" s="35"/>
      <c r="M56" s="5"/>
      <c r="O56" s="106"/>
      <c r="P56" s="7"/>
      <c r="S56" s="35"/>
    </row>
    <row r="57" spans="2:19" x14ac:dyDescent="0.25">
      <c r="B57" s="35">
        <v>16.5</v>
      </c>
      <c r="C57" s="36">
        <v>-0.22335700589999999</v>
      </c>
      <c r="D57" s="36">
        <v>4.0631970000000003E-2</v>
      </c>
      <c r="E57" s="36">
        <v>1.99952345E-2</v>
      </c>
      <c r="H57" s="85"/>
      <c r="J57" s="35"/>
      <c r="M57" s="5"/>
      <c r="O57" s="96"/>
      <c r="P57" s="7"/>
    </row>
    <row r="58" spans="2:19" x14ac:dyDescent="0.25">
      <c r="B58" s="35">
        <v>16.75</v>
      </c>
      <c r="C58" s="36">
        <v>-0.21890080170000001</v>
      </c>
      <c r="D58" s="36">
        <v>4.1432789999999997E-2</v>
      </c>
      <c r="E58" s="36">
        <v>2.1762186999999999E-2</v>
      </c>
      <c r="H58" s="85"/>
      <c r="J58" s="5"/>
      <c r="M58" s="5"/>
      <c r="O58" s="96"/>
    </row>
    <row r="59" spans="2:19" x14ac:dyDescent="0.25">
      <c r="B59" s="35">
        <v>17</v>
      </c>
      <c r="C59" s="36">
        <v>-0.214151971</v>
      </c>
      <c r="D59" s="36">
        <v>4.2062200000000001E-2</v>
      </c>
      <c r="E59" s="36">
        <v>2.3325571400000002E-2</v>
      </c>
      <c r="H59" s="85"/>
      <c r="J59" s="5"/>
      <c r="M59" s="5"/>
    </row>
    <row r="60" spans="2:19" x14ac:dyDescent="0.25">
      <c r="B60" s="35">
        <v>17.25</v>
      </c>
      <c r="C60" s="36">
        <v>-0.20913013189999999</v>
      </c>
      <c r="D60" s="36">
        <v>4.2535499999999997E-2</v>
      </c>
      <c r="E60" s="36">
        <v>2.4681684299999999E-2</v>
      </c>
      <c r="H60" s="5"/>
      <c r="J60" s="5"/>
      <c r="M60" s="5"/>
      <c r="P60" s="23"/>
    </row>
    <row r="61" spans="2:19" ht="12" customHeight="1" x14ac:dyDescent="0.25">
      <c r="B61" s="35">
        <v>17.5</v>
      </c>
      <c r="C61" s="36">
        <v>-0.20385322249999999</v>
      </c>
      <c r="D61" s="36">
        <v>4.2867160000000001E-2</v>
      </c>
      <c r="E61" s="36">
        <v>2.5828245699999999E-2</v>
      </c>
      <c r="H61" s="5"/>
      <c r="J61" s="5"/>
      <c r="M61" s="5"/>
      <c r="O61" s="106"/>
      <c r="P61" s="23"/>
    </row>
    <row r="62" spans="2:19" x14ac:dyDescent="0.25">
      <c r="B62" s="35">
        <v>17.75</v>
      </c>
      <c r="C62" s="36">
        <v>-0.1983391514</v>
      </c>
      <c r="D62" s="36">
        <v>4.3072199999999998E-2</v>
      </c>
      <c r="E62" s="36">
        <v>2.67644709E-2</v>
      </c>
      <c r="H62" s="5"/>
      <c r="J62" s="5"/>
      <c r="N62" s="23"/>
      <c r="O62" s="106"/>
      <c r="P62" s="23"/>
    </row>
    <row r="63" spans="2:19" x14ac:dyDescent="0.25">
      <c r="B63" s="35">
        <v>18</v>
      </c>
      <c r="C63" s="36">
        <v>-0.19260585629999999</v>
      </c>
      <c r="D63" s="36">
        <v>4.3164979999999999E-2</v>
      </c>
      <c r="E63" s="36">
        <v>2.74902972E-2</v>
      </c>
      <c r="H63" s="5"/>
      <c r="J63" s="5"/>
      <c r="N63" s="23"/>
      <c r="O63" s="106"/>
      <c r="P63" s="23"/>
    </row>
    <row r="64" spans="2:19" x14ac:dyDescent="0.25">
      <c r="B64" s="35">
        <v>18.25</v>
      </c>
      <c r="C64" s="36">
        <v>-0.1866699795</v>
      </c>
      <c r="D64" s="36">
        <v>4.3159000000000003E-2</v>
      </c>
      <c r="E64" s="36">
        <v>2.8007418799999999E-2</v>
      </c>
      <c r="H64" s="5"/>
      <c r="J64" s="5"/>
      <c r="N64" s="23"/>
      <c r="O64" s="106"/>
      <c r="P64" s="23"/>
    </row>
    <row r="65" spans="2:16" x14ac:dyDescent="0.25">
      <c r="B65" s="35">
        <v>18.5</v>
      </c>
      <c r="C65" s="36">
        <v>-0.18054663109999999</v>
      </c>
      <c r="D65" s="36">
        <v>4.3068000000000002E-2</v>
      </c>
      <c r="E65" s="36">
        <v>2.8324922400000001E-2</v>
      </c>
      <c r="H65" s="5"/>
      <c r="J65" s="5"/>
      <c r="N65" s="23"/>
      <c r="O65" s="106"/>
      <c r="P65" s="23"/>
    </row>
    <row r="66" spans="2:16" x14ac:dyDescent="0.25">
      <c r="B66" s="35">
        <v>18.75</v>
      </c>
      <c r="C66" s="36">
        <v>-0.17424914080000001</v>
      </c>
      <c r="D66" s="36">
        <v>4.2905480000000003E-2</v>
      </c>
      <c r="E66" s="36">
        <v>2.8452410800000001E-2</v>
      </c>
      <c r="H66" s="5"/>
      <c r="J66" s="5"/>
      <c r="N66" s="23"/>
      <c r="O66" s="106"/>
      <c r="P66" s="23"/>
    </row>
    <row r="67" spans="2:16" x14ac:dyDescent="0.25">
      <c r="B67" s="35">
        <v>19</v>
      </c>
      <c r="C67" s="36">
        <v>-0.16778985260000001</v>
      </c>
      <c r="D67" s="36">
        <v>4.2684670000000001E-2</v>
      </c>
      <c r="E67" s="36">
        <v>2.83967722E-2</v>
      </c>
      <c r="H67" s="5"/>
      <c r="J67" s="5"/>
      <c r="N67" s="23"/>
      <c r="O67" s="106"/>
      <c r="P67" s="23"/>
    </row>
    <row r="68" spans="2:16" x14ac:dyDescent="0.25">
      <c r="B68" s="35">
        <v>19.25</v>
      </c>
      <c r="C68" s="36">
        <v>-0.1611811813</v>
      </c>
      <c r="D68" s="36">
        <v>4.2417110000000001E-2</v>
      </c>
      <c r="E68" s="36">
        <v>2.8165181599999999E-2</v>
      </c>
      <c r="H68" s="5"/>
      <c r="J68" s="5"/>
      <c r="N68" s="23"/>
      <c r="O68" s="106"/>
      <c r="P68" s="23"/>
    </row>
    <row r="69" spans="2:16" x14ac:dyDescent="0.25">
      <c r="B69" s="35">
        <v>19.5</v>
      </c>
      <c r="C69" s="36">
        <v>-0.15443786609999999</v>
      </c>
      <c r="D69" s="36">
        <v>4.2110160000000001E-2</v>
      </c>
      <c r="E69" s="36">
        <v>2.77703225E-2</v>
      </c>
      <c r="H69" s="5"/>
      <c r="J69" s="5"/>
      <c r="L69" s="107"/>
      <c r="M69" s="23"/>
      <c r="N69" s="23"/>
      <c r="O69" s="106"/>
      <c r="P69" s="23"/>
    </row>
    <row r="70" spans="2:16" x14ac:dyDescent="0.25">
      <c r="B70" s="35">
        <v>19.75</v>
      </c>
      <c r="C70" s="36">
        <v>-0.1475743605</v>
      </c>
      <c r="D70" s="36">
        <v>4.1768689999999997E-2</v>
      </c>
      <c r="E70" s="36">
        <v>2.7225338299999999E-2</v>
      </c>
      <c r="H70" s="5"/>
      <c r="J70" s="5"/>
      <c r="L70" s="107"/>
      <c r="M70" s="23"/>
      <c r="N70" s="23"/>
      <c r="O70" s="106"/>
      <c r="P70" s="23"/>
    </row>
    <row r="71" spans="2:16" x14ac:dyDescent="0.25">
      <c r="B71" s="35">
        <v>20</v>
      </c>
      <c r="C71" s="36">
        <v>-0.1406046903</v>
      </c>
      <c r="D71" s="36">
        <v>4.1396259999999997E-2</v>
      </c>
      <c r="E71" s="36">
        <v>2.6542591099999999E-2</v>
      </c>
      <c r="H71" s="5"/>
      <c r="J71" s="5"/>
      <c r="L71" s="107"/>
      <c r="M71" s="23"/>
      <c r="N71" s="23"/>
      <c r="O71" s="106"/>
      <c r="P71" s="23"/>
    </row>
    <row r="72" spans="2:16" x14ac:dyDescent="0.25">
      <c r="B72" s="35">
        <v>20.25</v>
      </c>
      <c r="C72" s="36">
        <v>-0.1335430792</v>
      </c>
      <c r="D72" s="36">
        <v>4.0995959999999998E-2</v>
      </c>
      <c r="E72" s="36">
        <v>2.5733487699999998E-2</v>
      </c>
      <c r="H72" s="5"/>
      <c r="J72" s="5"/>
      <c r="L72" s="107"/>
      <c r="M72" s="23"/>
      <c r="N72" s="23"/>
      <c r="O72" s="106"/>
    </row>
    <row r="73" spans="2:16" x14ac:dyDescent="0.25">
      <c r="B73" s="35">
        <v>20.5</v>
      </c>
      <c r="C73" s="36">
        <v>-0.1264037646</v>
      </c>
      <c r="D73" s="36">
        <v>4.0571419999999997E-2</v>
      </c>
      <c r="E73" s="36">
        <v>2.4805806100000001E-2</v>
      </c>
      <c r="H73" s="5"/>
      <c r="J73" s="5"/>
    </row>
    <row r="74" spans="2:16" x14ac:dyDescent="0.25">
      <c r="B74" s="35">
        <v>20.75</v>
      </c>
      <c r="C74" s="36">
        <v>-0.1192001454</v>
      </c>
      <c r="D74" s="36">
        <v>4.0126639999999998E-2</v>
      </c>
      <c r="E74" s="36">
        <v>2.3766959899999999E-2</v>
      </c>
      <c r="H74" s="5"/>
      <c r="J74" s="5"/>
    </row>
    <row r="75" spans="2:16" x14ac:dyDescent="0.25">
      <c r="B75" s="35">
        <v>21</v>
      </c>
      <c r="C75" s="36">
        <v>-0.11194482579999999</v>
      </c>
      <c r="D75" s="36">
        <v>3.9665779999999998E-2</v>
      </c>
      <c r="E75" s="36">
        <v>2.2623938499999999E-2</v>
      </c>
      <c r="H75" s="5"/>
      <c r="J75" s="5"/>
    </row>
    <row r="76" spans="2:16" x14ac:dyDescent="0.25">
      <c r="B76" s="35">
        <v>21.25</v>
      </c>
      <c r="C76" s="36">
        <v>-0.1046496398</v>
      </c>
      <c r="D76" s="36">
        <v>3.919251E-2</v>
      </c>
      <c r="E76" s="36">
        <v>2.1382676600000001E-2</v>
      </c>
      <c r="H76" s="5"/>
      <c r="J76" s="5"/>
    </row>
    <row r="77" spans="2:16" x14ac:dyDescent="0.25">
      <c r="B77" s="35">
        <v>21.5</v>
      </c>
      <c r="C77" s="36">
        <v>-9.7325933000000003E-2</v>
      </c>
      <c r="D77" s="36">
        <v>3.870933E-2</v>
      </c>
      <c r="E77" s="36">
        <v>2.00466693E-2</v>
      </c>
      <c r="H77" s="5"/>
      <c r="J77" s="5"/>
    </row>
    <row r="78" spans="2:16" x14ac:dyDescent="0.25">
      <c r="B78" s="35">
        <v>21.75</v>
      </c>
      <c r="C78" s="36">
        <v>-8.9984279900000005E-2</v>
      </c>
      <c r="D78" s="36">
        <v>3.8218090000000003E-2</v>
      </c>
      <c r="E78" s="36">
        <v>1.8618392300000002E-2</v>
      </c>
      <c r="H78" s="5"/>
      <c r="J78" s="5"/>
    </row>
    <row r="79" spans="2:16" x14ac:dyDescent="0.25">
      <c r="B79" s="35">
        <v>22</v>
      </c>
      <c r="C79" s="36">
        <v>-8.2634289499999999E-2</v>
      </c>
      <c r="D79" s="36">
        <v>3.7720190000000001E-2</v>
      </c>
      <c r="E79" s="36">
        <v>1.7100136599999999E-2</v>
      </c>
      <c r="H79" s="5"/>
      <c r="J79" s="5"/>
    </row>
    <row r="80" spans="2:16" x14ac:dyDescent="0.25">
      <c r="B80" s="35">
        <v>22.25</v>
      </c>
      <c r="C80" s="36">
        <v>-7.5284773200000002E-2</v>
      </c>
      <c r="D80" s="36">
        <v>3.7216590000000001E-2</v>
      </c>
      <c r="E80" s="36">
        <v>1.5495081000000001E-2</v>
      </c>
      <c r="H80" s="5"/>
      <c r="J80" s="5"/>
    </row>
    <row r="81" spans="2:10" x14ac:dyDescent="0.25">
      <c r="B81" s="35">
        <v>22.5</v>
      </c>
      <c r="C81" s="36">
        <v>-6.7943212399999994E-2</v>
      </c>
      <c r="D81" s="36">
        <v>3.6707280000000002E-2</v>
      </c>
      <c r="E81" s="36">
        <v>1.3805389499999999E-2</v>
      </c>
      <c r="H81" s="5"/>
      <c r="J81" s="5"/>
    </row>
    <row r="82" spans="2:10" x14ac:dyDescent="0.25">
      <c r="B82" s="35">
        <v>22.75</v>
      </c>
      <c r="C82" s="36">
        <v>-6.0616760800000002E-2</v>
      </c>
      <c r="D82" s="36">
        <v>3.6192559999999999E-2</v>
      </c>
      <c r="E82" s="36">
        <v>1.2032674599999999E-2</v>
      </c>
      <c r="H82" s="5"/>
      <c r="J82" s="5"/>
    </row>
    <row r="83" spans="2:10" x14ac:dyDescent="0.25">
      <c r="B83" s="35">
        <v>23</v>
      </c>
      <c r="C83" s="36">
        <v>-5.3312467600000003E-2</v>
      </c>
      <c r="D83" s="36">
        <v>3.5673110000000001E-2</v>
      </c>
      <c r="E83" s="36">
        <v>1.01790266E-2</v>
      </c>
      <c r="H83" s="5"/>
      <c r="J83" s="5"/>
    </row>
    <row r="84" spans="2:10" x14ac:dyDescent="0.25">
      <c r="B84" s="35">
        <v>23.25</v>
      </c>
      <c r="C84" s="36">
        <v>-4.6036623899999997E-2</v>
      </c>
      <c r="D84" s="36">
        <v>3.5149420000000001E-2</v>
      </c>
      <c r="E84" s="36">
        <v>8.2461504000000008E-3</v>
      </c>
      <c r="H84" s="5"/>
      <c r="J84" s="5"/>
    </row>
    <row r="85" spans="2:10" x14ac:dyDescent="0.25">
      <c r="B85" s="35">
        <v>23.5</v>
      </c>
      <c r="C85" s="36">
        <v>-3.8794240399999999E-2</v>
      </c>
      <c r="D85" s="36">
        <v>3.4620819999999997E-2</v>
      </c>
      <c r="E85" s="36">
        <v>6.2343125999999999E-3</v>
      </c>
      <c r="H85" s="5"/>
      <c r="J85" s="5"/>
    </row>
    <row r="86" spans="2:10" x14ac:dyDescent="0.25">
      <c r="B86" s="35">
        <v>23.75</v>
      </c>
      <c r="C86" s="36">
        <v>-3.1590317399999998E-2</v>
      </c>
      <c r="D86" s="36">
        <v>3.4087069999999997E-2</v>
      </c>
      <c r="E86" s="36">
        <v>4.1447391999999998E-3</v>
      </c>
      <c r="H86" s="5"/>
    </row>
    <row r="87" spans="2:10" x14ac:dyDescent="0.25">
      <c r="B87" s="35">
        <v>24</v>
      </c>
      <c r="C87" s="36">
        <v>-2.4430252E-2</v>
      </c>
      <c r="D87" s="36">
        <v>3.3549009999999997E-2</v>
      </c>
      <c r="E87" s="36">
        <v>1.9807048000000001E-3</v>
      </c>
    </row>
    <row r="88" spans="2:10" x14ac:dyDescent="0.25">
      <c r="B88" s="35">
        <v>24.25</v>
      </c>
      <c r="C88" s="36">
        <v>-1.7319154199999999E-2</v>
      </c>
      <c r="D88" s="36">
        <v>3.3007849999999998E-2</v>
      </c>
      <c r="E88" s="36">
        <v>-2.5373449999999999E-4</v>
      </c>
    </row>
    <row r="89" spans="2:10" x14ac:dyDescent="0.25">
      <c r="B89" s="35">
        <v>24.5</v>
      </c>
      <c r="C89" s="36">
        <v>-1.0261579999999999E-2</v>
      </c>
      <c r="D89" s="36">
        <v>3.2464180000000002E-2</v>
      </c>
      <c r="E89" s="36">
        <v>-2.5551158E-3</v>
      </c>
    </row>
    <row r="90" spans="2:10" x14ac:dyDescent="0.25">
      <c r="B90" s="35">
        <v>24.75</v>
      </c>
      <c r="C90" s="36">
        <v>-3.2620441E-3</v>
      </c>
      <c r="D90" s="36">
        <v>3.1918589999999997E-2</v>
      </c>
      <c r="E90" s="36">
        <v>-4.9203507999999998E-3</v>
      </c>
    </row>
    <row r="91" spans="2:10" x14ac:dyDescent="0.25">
      <c r="B91" s="35">
        <v>25</v>
      </c>
      <c r="C91" s="36">
        <v>3.6749864E-3</v>
      </c>
      <c r="D91" s="36">
        <v>3.137202E-2</v>
      </c>
      <c r="E91" s="36">
        <v>-7.3462075000000002E-3</v>
      </c>
    </row>
    <row r="92" spans="2:10" x14ac:dyDescent="0.25">
      <c r="B92" s="35">
        <v>25.25</v>
      </c>
      <c r="C92" s="36">
        <v>1.0544846599999999E-2</v>
      </c>
      <c r="D92" s="36">
        <v>3.0825689999999999E-2</v>
      </c>
      <c r="E92" s="36">
        <v>-9.8288219999999992E-3</v>
      </c>
    </row>
    <row r="93" spans="2:10" x14ac:dyDescent="0.25">
      <c r="B93" s="35">
        <v>25.5</v>
      </c>
      <c r="C93" s="36">
        <v>1.7341657900000002E-2</v>
      </c>
      <c r="D93" s="36">
        <v>3.0280890000000001E-2</v>
      </c>
      <c r="E93" s="36">
        <v>-1.23615406E-2</v>
      </c>
    </row>
    <row r="94" spans="2:10" x14ac:dyDescent="0.25">
      <c r="B94" s="35">
        <v>25.75</v>
      </c>
      <c r="C94" s="36">
        <v>2.4059498299999999E-2</v>
      </c>
      <c r="D94" s="36">
        <v>2.973897E-2</v>
      </c>
      <c r="E94" s="36">
        <v>-1.49365382E-2</v>
      </c>
    </row>
    <row r="95" spans="2:10" x14ac:dyDescent="0.25">
      <c r="B95" s="35">
        <v>26</v>
      </c>
      <c r="C95" s="36">
        <v>3.0692986200000001E-2</v>
      </c>
      <c r="D95" s="36">
        <v>2.9201230000000002E-2</v>
      </c>
      <c r="E95" s="36">
        <v>-1.7545767300000001E-2</v>
      </c>
    </row>
    <row r="96" spans="2:10" x14ac:dyDescent="0.25">
      <c r="B96" s="35">
        <v>26.25</v>
      </c>
      <c r="C96" s="36">
        <v>3.7236775100000001E-2</v>
      </c>
      <c r="D96" s="36">
        <v>2.866906E-2</v>
      </c>
      <c r="E96" s="36">
        <v>-2.01812663E-2</v>
      </c>
    </row>
    <row r="97" spans="2:5" x14ac:dyDescent="0.25">
      <c r="B97" s="35">
        <v>26.5</v>
      </c>
      <c r="C97" s="36">
        <v>4.3685569399999999E-2</v>
      </c>
      <c r="D97" s="36">
        <v>2.8143700000000001E-2</v>
      </c>
      <c r="E97" s="36">
        <v>-2.28354692E-2</v>
      </c>
    </row>
    <row r="98" spans="2:5" x14ac:dyDescent="0.25">
      <c r="B98" s="35">
        <v>26.75</v>
      </c>
      <c r="C98" s="36">
        <v>5.0034756299999997E-2</v>
      </c>
      <c r="D98" s="36">
        <v>2.7626169999999999E-2</v>
      </c>
      <c r="E98" s="36">
        <v>-2.5501215300000001E-2</v>
      </c>
    </row>
    <row r="99" spans="2:5" x14ac:dyDescent="0.25">
      <c r="B99" s="35">
        <v>27</v>
      </c>
      <c r="C99" s="36">
        <v>5.6280494200000003E-2</v>
      </c>
      <c r="D99" s="36">
        <v>2.7117100000000002E-2</v>
      </c>
      <c r="E99" s="36">
        <v>-2.8171360699999998E-2</v>
      </c>
    </row>
    <row r="100" spans="2:5" x14ac:dyDescent="0.25">
      <c r="B100" s="35">
        <v>27.25</v>
      </c>
      <c r="C100" s="36">
        <v>6.2419455999999998E-2</v>
      </c>
      <c r="D100" s="36">
        <v>2.6616839999999999E-2</v>
      </c>
      <c r="E100" s="36">
        <v>-3.0838533200000001E-2</v>
      </c>
    </row>
    <row r="101" spans="2:5" x14ac:dyDescent="0.25">
      <c r="B101" s="35">
        <v>27.5</v>
      </c>
      <c r="C101" s="36">
        <v>6.8448783900000004E-2</v>
      </c>
      <c r="D101" s="36">
        <v>2.612573E-2</v>
      </c>
      <c r="E101" s="36">
        <v>-3.3495562600000001E-2</v>
      </c>
    </row>
    <row r="102" spans="2:5" x14ac:dyDescent="0.25">
      <c r="B102" s="35">
        <v>27.75</v>
      </c>
      <c r="C102" s="36">
        <v>7.4365976599999994E-2</v>
      </c>
      <c r="D102" s="36">
        <v>2.5643889999999999E-2</v>
      </c>
      <c r="E102" s="36">
        <v>-3.6135408399999999E-2</v>
      </c>
    </row>
    <row r="103" spans="2:5" x14ac:dyDescent="0.25">
      <c r="B103" s="35">
        <v>28</v>
      </c>
      <c r="C103" s="36">
        <v>8.0168433600000005E-2</v>
      </c>
      <c r="D103" s="36">
        <v>2.51714E-2</v>
      </c>
      <c r="E103" s="36">
        <v>-3.87513996E-2</v>
      </c>
    </row>
    <row r="104" spans="2:5" x14ac:dyDescent="0.25">
      <c r="B104" s="35">
        <v>28.25</v>
      </c>
      <c r="C104" s="36">
        <v>8.5853554999999998E-2</v>
      </c>
      <c r="D104" s="36">
        <v>2.470849E-2</v>
      </c>
      <c r="E104" s="36">
        <v>-4.1337517999999997E-2</v>
      </c>
    </row>
    <row r="105" spans="2:5" x14ac:dyDescent="0.25">
      <c r="B105" s="35">
        <v>28.5</v>
      </c>
      <c r="C105" s="36">
        <v>9.1418925499999998E-2</v>
      </c>
      <c r="D105" s="36">
        <v>2.4255189999999999E-2</v>
      </c>
      <c r="E105" s="36">
        <v>-4.3890222200000002E-2</v>
      </c>
    </row>
    <row r="106" spans="2:5" x14ac:dyDescent="0.25">
      <c r="B106" s="35">
        <v>28.75</v>
      </c>
      <c r="C106" s="36">
        <v>9.6862358499999995E-2</v>
      </c>
      <c r="D106" s="36">
        <v>2.381136E-2</v>
      </c>
      <c r="E106" s="36">
        <v>-4.6406841599999998E-2</v>
      </c>
    </row>
    <row r="107" spans="2:5" x14ac:dyDescent="0.25">
      <c r="B107" s="35">
        <v>29</v>
      </c>
      <c r="C107" s="36">
        <v>0.1021817246</v>
      </c>
      <c r="D107" s="36">
        <v>2.337699E-2</v>
      </c>
      <c r="E107" s="36">
        <v>-4.8884387199999997E-2</v>
      </c>
    </row>
    <row r="108" spans="2:5" x14ac:dyDescent="0.25">
      <c r="B108" s="35">
        <v>29.25</v>
      </c>
      <c r="C108" s="36">
        <v>0.10737469569999999</v>
      </c>
      <c r="D108" s="36">
        <v>2.2952230000000001E-2</v>
      </c>
      <c r="E108" s="36">
        <v>-5.1319202500000001E-2</v>
      </c>
    </row>
    <row r="109" spans="2:5" x14ac:dyDescent="0.25">
      <c r="B109" s="35">
        <v>29.5</v>
      </c>
      <c r="C109" s="36">
        <v>0.1124390004</v>
      </c>
      <c r="D109" s="36">
        <v>2.253724E-2</v>
      </c>
      <c r="E109" s="36">
        <v>-5.3707364100000002E-2</v>
      </c>
    </row>
    <row r="110" spans="2:5" x14ac:dyDescent="0.25">
      <c r="B110" s="35">
        <v>29.75</v>
      </c>
      <c r="C110" s="36">
        <v>0.1173726153</v>
      </c>
      <c r="D110" s="36">
        <v>2.2131990000000001E-2</v>
      </c>
      <c r="E110" s="36">
        <v>-5.60451119E-2</v>
      </c>
    </row>
    <row r="111" spans="2:5" x14ac:dyDescent="0.25">
      <c r="B111" s="35">
        <v>30</v>
      </c>
      <c r="C111" s="36">
        <v>0.1221736366</v>
      </c>
      <c r="D111" s="36">
        <v>2.1736410000000001E-2</v>
      </c>
      <c r="E111" s="36">
        <v>-5.8329148599999998E-2</v>
      </c>
    </row>
    <row r="112" spans="2:5" x14ac:dyDescent="0.25">
      <c r="B112" s="35">
        <v>30.25</v>
      </c>
      <c r="C112" s="36">
        <v>0.12684046530000001</v>
      </c>
      <c r="D112" s="36">
        <v>2.1350399999999999E-2</v>
      </c>
      <c r="E112" s="36">
        <v>-6.0556742599999998E-2</v>
      </c>
    </row>
    <row r="113" spans="2:5" x14ac:dyDescent="0.25">
      <c r="B113" s="35">
        <v>30.5</v>
      </c>
      <c r="C113" s="36">
        <v>0.1313719528</v>
      </c>
      <c r="D113" s="36">
        <v>2.0973729999999999E-2</v>
      </c>
      <c r="E113" s="36">
        <v>-6.2726900899999993E-2</v>
      </c>
    </row>
    <row r="114" spans="2:5" x14ac:dyDescent="0.25">
      <c r="B114" s="35">
        <v>30.75</v>
      </c>
      <c r="C114" s="36">
        <v>0.13576694810000001</v>
      </c>
      <c r="D114" s="36">
        <v>2.0606090000000001E-2</v>
      </c>
      <c r="E114" s="36">
        <v>-6.4839136399999997E-2</v>
      </c>
    </row>
    <row r="115" spans="2:5" x14ac:dyDescent="0.25">
      <c r="B115" s="35">
        <v>31</v>
      </c>
      <c r="C115" s="36">
        <v>0.14002428450000001</v>
      </c>
      <c r="D115" s="36">
        <v>2.0247060000000001E-2</v>
      </c>
      <c r="E115" s="36">
        <v>-6.6893028399999999E-2</v>
      </c>
    </row>
    <row r="116" spans="2:5" x14ac:dyDescent="0.25">
      <c r="B116" s="35">
        <v>31.25</v>
      </c>
      <c r="C116" s="36">
        <v>0.14414281030000001</v>
      </c>
      <c r="D116" s="36">
        <v>1.9896110000000002E-2</v>
      </c>
      <c r="E116" s="36">
        <v>-6.8888218700000003E-2</v>
      </c>
    </row>
    <row r="117" spans="2:5" x14ac:dyDescent="0.25">
      <c r="B117" s="35">
        <v>31.5</v>
      </c>
      <c r="C117" s="36">
        <v>0.1481216162</v>
      </c>
      <c r="D117" s="36">
        <v>1.955227E-2</v>
      </c>
      <c r="E117" s="36">
        <v>-7.0824978199999999E-2</v>
      </c>
    </row>
    <row r="118" spans="2:5" x14ac:dyDescent="0.25">
      <c r="B118" s="35">
        <v>31.75</v>
      </c>
      <c r="C118" s="36">
        <v>0.15196000339999999</v>
      </c>
      <c r="D118" s="36">
        <v>1.921432E-2</v>
      </c>
      <c r="E118" s="36">
        <v>-7.2703762000000005E-2</v>
      </c>
    </row>
    <row r="119" spans="2:5" x14ac:dyDescent="0.25">
      <c r="B119" s="35">
        <v>32</v>
      </c>
      <c r="C119" s="36">
        <v>0.15565736629999999</v>
      </c>
      <c r="D119" s="36">
        <v>1.8881019999999998E-2</v>
      </c>
      <c r="E119" s="36">
        <v>-7.4525252400000006E-2</v>
      </c>
    </row>
    <row r="120" spans="2:5" x14ac:dyDescent="0.25">
      <c r="B120" s="35">
        <v>32.25</v>
      </c>
      <c r="C120" s="36">
        <v>0.15921316420000001</v>
      </c>
      <c r="D120" s="36">
        <v>1.855124E-2</v>
      </c>
      <c r="E120" s="36">
        <v>-7.6290220300000003E-2</v>
      </c>
    </row>
    <row r="121" spans="2:5" x14ac:dyDescent="0.25">
      <c r="B121" s="35">
        <v>32.5</v>
      </c>
      <c r="C121" s="36">
        <v>0.16262675060000001</v>
      </c>
      <c r="D121" s="36">
        <v>1.8224199999999999E-2</v>
      </c>
      <c r="E121" s="36">
        <v>-7.8000067100000001E-2</v>
      </c>
    </row>
    <row r="122" spans="2:5" x14ac:dyDescent="0.25">
      <c r="B122" s="35">
        <v>32.75</v>
      </c>
      <c r="C122" s="36">
        <v>0.16589740489999999</v>
      </c>
      <c r="D122" s="36">
        <v>1.789926E-2</v>
      </c>
      <c r="E122" s="36">
        <v>-7.9656192700000003E-2</v>
      </c>
    </row>
    <row r="123" spans="2:5" x14ac:dyDescent="0.25">
      <c r="B123" s="35">
        <v>33</v>
      </c>
      <c r="C123" s="36">
        <v>0.169024495</v>
      </c>
      <c r="D123" s="36">
        <v>1.7575799999999999E-2</v>
      </c>
      <c r="E123" s="36">
        <v>-8.1259620399999996E-2</v>
      </c>
    </row>
    <row r="124" spans="2:5" x14ac:dyDescent="0.25">
      <c r="B124" s="35">
        <v>33.25</v>
      </c>
      <c r="C124" s="36">
        <v>0.1720074905</v>
      </c>
      <c r="D124" s="36">
        <v>1.7253020000000001E-2</v>
      </c>
      <c r="E124" s="36">
        <v>-8.2811040799999999E-2</v>
      </c>
    </row>
    <row r="125" spans="2:5" x14ac:dyDescent="0.25">
      <c r="B125" s="35">
        <v>33.5</v>
      </c>
      <c r="C125" s="36">
        <v>0.17484611</v>
      </c>
      <c r="D125" s="36">
        <v>1.6929980000000001E-2</v>
      </c>
      <c r="E125" s="36">
        <v>-8.4310585800000004E-2</v>
      </c>
    </row>
    <row r="126" spans="2:5" x14ac:dyDescent="0.25">
      <c r="B126" s="35">
        <v>33.75</v>
      </c>
      <c r="C126" s="36">
        <v>0.1775404025</v>
      </c>
      <c r="D126" s="36">
        <v>1.6605519999999999E-2</v>
      </c>
      <c r="E126" s="36">
        <v>-8.5758190799999995E-2</v>
      </c>
    </row>
    <row r="127" spans="2:5" x14ac:dyDescent="0.25">
      <c r="B127" s="35">
        <v>34</v>
      </c>
      <c r="C127" s="36">
        <v>0.1800908135</v>
      </c>
      <c r="D127" s="36">
        <v>1.6278310000000001E-2</v>
      </c>
      <c r="E127" s="36">
        <v>-8.7153641399999995E-2</v>
      </c>
    </row>
    <row r="128" spans="2:5" x14ac:dyDescent="0.25">
      <c r="B128" s="35">
        <v>34.25</v>
      </c>
      <c r="C128" s="36">
        <v>0.18249823979999999</v>
      </c>
      <c r="D128" s="36">
        <v>1.5947220000000002E-2</v>
      </c>
      <c r="E128" s="36">
        <v>-8.8496460599999993E-2</v>
      </c>
    </row>
    <row r="129" spans="2:5" x14ac:dyDescent="0.25">
      <c r="B129" s="35">
        <v>34.5</v>
      </c>
      <c r="C129" s="36">
        <v>0.1847640401</v>
      </c>
      <c r="D129" s="36">
        <v>1.5611669999999999E-2</v>
      </c>
      <c r="E129" s="36">
        <v>-8.9785777999999997E-2</v>
      </c>
    </row>
    <row r="130" spans="2:5" x14ac:dyDescent="0.25">
      <c r="B130" s="35">
        <v>34.75</v>
      </c>
      <c r="C130" s="36">
        <v>0.18688964199999999</v>
      </c>
      <c r="D130" s="36">
        <v>1.527121E-2</v>
      </c>
      <c r="E130" s="36">
        <v>-9.1020265399999994E-2</v>
      </c>
    </row>
    <row r="131" spans="2:5" x14ac:dyDescent="0.25">
      <c r="B131" s="35">
        <v>35</v>
      </c>
      <c r="C131" s="36">
        <v>0.18887653609999999</v>
      </c>
      <c r="D131" s="36">
        <v>1.492547E-2</v>
      </c>
      <c r="E131" s="36">
        <v>-9.2198445000000004E-2</v>
      </c>
    </row>
    <row r="132" spans="2:5" x14ac:dyDescent="0.25">
      <c r="B132" s="35">
        <v>35.25</v>
      </c>
      <c r="C132" s="36">
        <v>0.19072610179999999</v>
      </c>
      <c r="D132" s="36">
        <v>1.457434E-2</v>
      </c>
      <c r="E132" s="36">
        <v>-9.3318914000000003E-2</v>
      </c>
    </row>
    <row r="133" spans="2:5" x14ac:dyDescent="0.25">
      <c r="B133" s="35">
        <v>35.5</v>
      </c>
      <c r="C133" s="36">
        <v>0.19243977800000001</v>
      </c>
      <c r="D133" s="36">
        <v>1.4218069999999999E-2</v>
      </c>
      <c r="E133" s="36">
        <v>-9.4380531200000006E-2</v>
      </c>
    </row>
    <row r="134" spans="2:5" x14ac:dyDescent="0.25">
      <c r="B134" s="35">
        <v>35.75</v>
      </c>
      <c r="C134" s="36">
        <v>0.19401913139999999</v>
      </c>
      <c r="D134" s="36">
        <v>1.385693E-2</v>
      </c>
      <c r="E134" s="36">
        <v>-9.5382226299999998E-2</v>
      </c>
    </row>
    <row r="135" spans="2:5" x14ac:dyDescent="0.25">
      <c r="B135" s="35">
        <v>36</v>
      </c>
      <c r="C135" s="36">
        <v>0.19546569950000001</v>
      </c>
      <c r="D135" s="36">
        <v>1.349116E-2</v>
      </c>
      <c r="E135" s="36">
        <v>-9.6323005599999997E-2</v>
      </c>
    </row>
    <row r="136" spans="2:5" x14ac:dyDescent="0.25">
      <c r="B136" s="35">
        <v>36.25</v>
      </c>
      <c r="C136" s="36">
        <v>0.19678103250000001</v>
      </c>
      <c r="D136" s="36">
        <v>1.312107E-2</v>
      </c>
      <c r="E136" s="36">
        <v>-9.7202147599999997E-2</v>
      </c>
    </row>
    <row r="137" spans="2:5" x14ac:dyDescent="0.25">
      <c r="B137" s="35">
        <v>36.5</v>
      </c>
      <c r="C137" s="36">
        <v>0.1979668292</v>
      </c>
      <c r="D137" s="36">
        <v>1.2747349999999999E-2</v>
      </c>
      <c r="E137" s="36">
        <v>-9.8019166099999999E-2</v>
      </c>
    </row>
    <row r="138" spans="2:5" x14ac:dyDescent="0.25">
      <c r="B138" s="35">
        <v>36.75</v>
      </c>
      <c r="C138" s="36">
        <v>0.19902479079999999</v>
      </c>
      <c r="D138" s="36">
        <v>1.237076E-2</v>
      </c>
      <c r="E138" s="36">
        <v>-9.8773608799999996E-2</v>
      </c>
    </row>
    <row r="139" spans="2:5" x14ac:dyDescent="0.25">
      <c r="B139" s="35">
        <v>37</v>
      </c>
      <c r="C139" s="36">
        <v>0.19995663399999999</v>
      </c>
      <c r="D139" s="36">
        <v>1.1991959999999999E-2</v>
      </c>
      <c r="E139" s="36">
        <v>-9.9464875100000003E-2</v>
      </c>
    </row>
    <row r="140" spans="2:5" x14ac:dyDescent="0.25">
      <c r="B140" s="35">
        <v>37.25</v>
      </c>
      <c r="C140" s="36">
        <v>0.2007642151</v>
      </c>
      <c r="D140" s="36">
        <v>1.161155E-2</v>
      </c>
      <c r="E140" s="36">
        <v>-0.1000925429</v>
      </c>
    </row>
    <row r="141" spans="2:5" x14ac:dyDescent="0.25">
      <c r="B141" s="35">
        <v>37.5</v>
      </c>
      <c r="C141" s="36">
        <v>0.20144972250000001</v>
      </c>
      <c r="D141" s="36">
        <v>1.1229889999999999E-2</v>
      </c>
      <c r="E141" s="36">
        <v>-0.1006566978</v>
      </c>
    </row>
    <row r="142" spans="2:5" x14ac:dyDescent="0.25">
      <c r="B142" s="35">
        <v>37.75</v>
      </c>
      <c r="C142" s="36">
        <v>0.20201545360000001</v>
      </c>
      <c r="D142" s="36">
        <v>1.0847269999999999E-2</v>
      </c>
      <c r="E142" s="36">
        <v>-0.1011574277</v>
      </c>
    </row>
    <row r="143" spans="2:5" x14ac:dyDescent="0.25">
      <c r="B143" s="35">
        <v>38</v>
      </c>
      <c r="C143" s="36">
        <v>0.20246366299999999</v>
      </c>
      <c r="D143" s="36">
        <v>1.04639E-2</v>
      </c>
      <c r="E143" s="36">
        <v>-0.1015949248</v>
      </c>
    </row>
    <row r="144" spans="2:5" x14ac:dyDescent="0.25">
      <c r="B144" s="35">
        <v>38.25</v>
      </c>
      <c r="C144" s="36">
        <v>0.2027965998</v>
      </c>
      <c r="D144" s="36">
        <v>1.0079919999999999E-2</v>
      </c>
      <c r="E144" s="36">
        <v>-0.10196953559999999</v>
      </c>
    </row>
    <row r="145" spans="2:5" x14ac:dyDescent="0.25">
      <c r="B145" s="35">
        <v>38.5</v>
      </c>
      <c r="C145" s="36">
        <v>0.2030165914</v>
      </c>
      <c r="D145" s="36">
        <v>9.6955470000000005E-3</v>
      </c>
      <c r="E145" s="36">
        <v>-0.1022816625</v>
      </c>
    </row>
    <row r="146" spans="2:5" x14ac:dyDescent="0.25">
      <c r="B146" s="35">
        <v>38.75</v>
      </c>
      <c r="C146" s="36">
        <v>0.2031258011</v>
      </c>
      <c r="D146" s="36">
        <v>9.3110910000000005E-3</v>
      </c>
      <c r="E146" s="36">
        <v>-0.1025315943</v>
      </c>
    </row>
    <row r="147" spans="2:5" x14ac:dyDescent="0.25">
      <c r="B147" s="35">
        <v>39</v>
      </c>
      <c r="C147" s="36">
        <v>0.20312619000000001</v>
      </c>
      <c r="D147" s="36">
        <v>8.9268500000000001E-3</v>
      </c>
      <c r="E147" s="36">
        <v>-0.10271954649999999</v>
      </c>
    </row>
    <row r="148" spans="2:5" x14ac:dyDescent="0.25">
      <c r="B148" s="35">
        <v>39.25</v>
      </c>
      <c r="C148" s="36">
        <v>0.20301968510000001</v>
      </c>
      <c r="D148" s="36">
        <v>8.5430880000000008E-3</v>
      </c>
      <c r="E148" s="36">
        <v>-0.10284581</v>
      </c>
    </row>
    <row r="149" spans="2:5" x14ac:dyDescent="0.25">
      <c r="B149" s="35">
        <v>39.5</v>
      </c>
      <c r="C149" s="36">
        <v>0.2028083134</v>
      </c>
      <c r="D149" s="36">
        <v>8.1601069999999998E-3</v>
      </c>
      <c r="E149" s="36">
        <v>-0.1029108582</v>
      </c>
    </row>
    <row r="150" spans="2:5" x14ac:dyDescent="0.25">
      <c r="B150" s="35">
        <v>39.75</v>
      </c>
      <c r="C150" s="36">
        <v>0.20249411019999999</v>
      </c>
      <c r="D150" s="36">
        <v>7.7781940000000004E-3</v>
      </c>
      <c r="E150" s="36">
        <v>-0.1029152591</v>
      </c>
    </row>
    <row r="151" spans="2:5" x14ac:dyDescent="0.25">
      <c r="B151" s="35">
        <v>40</v>
      </c>
      <c r="C151" s="36">
        <v>0.20207907920000001</v>
      </c>
      <c r="D151" s="36">
        <v>7.3976529999999997E-3</v>
      </c>
      <c r="E151" s="36">
        <v>-0.1028595497</v>
      </c>
    </row>
    <row r="152" spans="2:5" x14ac:dyDescent="0.25">
      <c r="B152" s="35">
        <v>40.25</v>
      </c>
      <c r="C152" s="36">
        <v>0.2015655599</v>
      </c>
      <c r="D152" s="36">
        <v>7.018832E-3</v>
      </c>
      <c r="E152" s="36">
        <v>-0.1027441268</v>
      </c>
    </row>
    <row r="153" spans="2:5" x14ac:dyDescent="0.25">
      <c r="B153" s="35">
        <v>40.5</v>
      </c>
      <c r="C153" s="36">
        <v>0.2009568729</v>
      </c>
      <c r="D153" s="36">
        <v>6.6422019999999998E-3</v>
      </c>
      <c r="E153" s="36">
        <v>-0.1025692581</v>
      </c>
    </row>
    <row r="154" spans="2:5" x14ac:dyDescent="0.25">
      <c r="B154" s="35">
        <v>40.75</v>
      </c>
      <c r="C154" s="36">
        <v>0.20025640710000001</v>
      </c>
      <c r="D154" s="36">
        <v>6.2682559999999998E-3</v>
      </c>
      <c r="E154" s="36">
        <v>-0.1023351359</v>
      </c>
    </row>
    <row r="155" spans="2:5" x14ac:dyDescent="0.25">
      <c r="B155" s="35">
        <v>41</v>
      </c>
      <c r="C155" s="36">
        <v>0.19946744659999999</v>
      </c>
      <c r="D155" s="36">
        <v>5.897462E-3</v>
      </c>
      <c r="E155" s="36">
        <v>-0.10204183510000001</v>
      </c>
    </row>
    <row r="156" spans="2:5" x14ac:dyDescent="0.25">
      <c r="B156" s="35">
        <v>41.25</v>
      </c>
      <c r="C156" s="36">
        <v>0.19859340449999999</v>
      </c>
      <c r="D156" s="36">
        <v>5.5302219999999996E-3</v>
      </c>
      <c r="E156" s="36">
        <v>-0.1016893712</v>
      </c>
    </row>
    <row r="157" spans="2:5" x14ac:dyDescent="0.25">
      <c r="B157" s="35">
        <v>41.5</v>
      </c>
      <c r="C157" s="36">
        <v>0.19763785040000001</v>
      </c>
      <c r="D157" s="36">
        <v>5.1668959999999998E-3</v>
      </c>
      <c r="E157" s="36">
        <v>-0.10127762279999999</v>
      </c>
    </row>
    <row r="158" spans="2:5" x14ac:dyDescent="0.25">
      <c r="B158" s="35">
        <v>41.75</v>
      </c>
      <c r="C158" s="36">
        <v>0.19660423660000001</v>
      </c>
      <c r="D158" s="36">
        <v>4.8076899999999999E-3</v>
      </c>
      <c r="E158" s="36">
        <v>-0.10080631349999999</v>
      </c>
    </row>
    <row r="159" spans="2:5" x14ac:dyDescent="0.25">
      <c r="B159" s="35">
        <v>42</v>
      </c>
      <c r="C159" s="36">
        <v>0.19549593509999999</v>
      </c>
      <c r="D159" s="36">
        <v>4.4526410000000002E-3</v>
      </c>
      <c r="E159" s="36">
        <v>-0.1002751306</v>
      </c>
    </row>
    <row r="160" spans="2:5" x14ac:dyDescent="0.25">
      <c r="B160" s="35">
        <v>42.25</v>
      </c>
      <c r="C160" s="36">
        <v>0.19431617039999999</v>
      </c>
      <c r="D160" s="36">
        <v>4.1017600000000003E-3</v>
      </c>
      <c r="E160" s="36">
        <v>-9.9683978199999995E-2</v>
      </c>
    </row>
    <row r="161" spans="2:5" x14ac:dyDescent="0.25">
      <c r="B161" s="35">
        <v>42.5</v>
      </c>
      <c r="C161" s="36">
        <v>0.19306777289999999</v>
      </c>
      <c r="D161" s="36">
        <v>3.7551910000000002E-3</v>
      </c>
      <c r="E161" s="36">
        <v>-9.9033187600000003E-2</v>
      </c>
    </row>
    <row r="162" spans="2:5" x14ac:dyDescent="0.25">
      <c r="B162" s="35">
        <v>42.75</v>
      </c>
      <c r="C162" s="36">
        <v>0.1917533579</v>
      </c>
      <c r="D162" s="36">
        <v>3.413091E-3</v>
      </c>
      <c r="E162" s="36">
        <v>-9.8323201400000004E-2</v>
      </c>
    </row>
    <row r="163" spans="2:5" x14ac:dyDescent="0.25">
      <c r="B163" s="35">
        <v>43</v>
      </c>
      <c r="C163" s="36">
        <v>0.19037539210000001</v>
      </c>
      <c r="D163" s="36">
        <v>3.07559E-3</v>
      </c>
      <c r="E163" s="36">
        <v>-9.7554505499999999E-2</v>
      </c>
    </row>
    <row r="164" spans="2:5" x14ac:dyDescent="0.25">
      <c r="B164" s="35">
        <v>43.25</v>
      </c>
      <c r="C164" s="36">
        <v>0.1889362537</v>
      </c>
      <c r="D164" s="36">
        <v>2.7427670000000001E-3</v>
      </c>
      <c r="E164" s="36">
        <v>-9.6727706900000002E-2</v>
      </c>
    </row>
    <row r="165" spans="2:5" x14ac:dyDescent="0.25">
      <c r="B165" s="35">
        <v>43.5</v>
      </c>
      <c r="C165" s="36">
        <v>0.1874381534</v>
      </c>
      <c r="D165" s="36">
        <v>2.414696E-3</v>
      </c>
      <c r="E165" s="36">
        <v>-9.5843579600000006E-2</v>
      </c>
    </row>
    <row r="166" spans="2:5" x14ac:dyDescent="0.25">
      <c r="B166" s="35">
        <v>43.75</v>
      </c>
      <c r="C166" s="36">
        <v>0.18588323370000001</v>
      </c>
      <c r="D166" s="36">
        <v>2.091393E-3</v>
      </c>
      <c r="E166" s="36">
        <v>-9.4902907499999994E-2</v>
      </c>
    </row>
    <row r="167" spans="2:5" x14ac:dyDescent="0.25">
      <c r="B167" s="35">
        <v>44</v>
      </c>
      <c r="C167" s="36">
        <v>0.18427366919999999</v>
      </c>
      <c r="D167" s="36">
        <v>1.7728010000000001E-3</v>
      </c>
      <c r="E167" s="36">
        <v>-9.3906425900000007E-2</v>
      </c>
    </row>
    <row r="168" spans="2:5" x14ac:dyDescent="0.25">
      <c r="B168" s="35">
        <v>44.25</v>
      </c>
      <c r="C168" s="36">
        <v>0.18261154560000001</v>
      </c>
      <c r="D168" s="36">
        <v>1.458806E-3</v>
      </c>
      <c r="E168" s="36">
        <v>-9.28549439E-2</v>
      </c>
    </row>
    <row r="169" spans="2:5" x14ac:dyDescent="0.25">
      <c r="B169" s="35">
        <v>44.5</v>
      </c>
      <c r="C169" s="36">
        <v>0.18089861269999999</v>
      </c>
      <c r="D169" s="36">
        <v>1.149331E-3</v>
      </c>
      <c r="E169" s="36">
        <v>-9.1749367499999998E-2</v>
      </c>
    </row>
    <row r="170" spans="2:5" x14ac:dyDescent="0.25">
      <c r="B170" s="35">
        <v>44.75</v>
      </c>
      <c r="C170" s="36">
        <v>0.1791365217</v>
      </c>
      <c r="D170" s="36">
        <v>8.4429060000000002E-4</v>
      </c>
      <c r="E170" s="36">
        <v>-9.0590570199999998E-2</v>
      </c>
    </row>
    <row r="171" spans="2:5" x14ac:dyDescent="0.25">
      <c r="B171" s="35">
        <v>45</v>
      </c>
      <c r="C171" s="36">
        <v>0.17732691049999999</v>
      </c>
      <c r="D171" s="36">
        <v>5.4352830000000004E-4</v>
      </c>
      <c r="E171" s="36">
        <v>-8.9379341400000006E-2</v>
      </c>
    </row>
    <row r="172" spans="2:5" x14ac:dyDescent="0.25">
      <c r="B172" s="35">
        <v>45.25</v>
      </c>
      <c r="C172" s="36">
        <v>0.175471353</v>
      </c>
      <c r="D172" s="36">
        <v>2.467333E-4</v>
      </c>
      <c r="E172" s="36">
        <v>-8.8116598300000001E-2</v>
      </c>
    </row>
    <row r="173" spans="2:5" x14ac:dyDescent="0.25">
      <c r="B173" s="35">
        <v>45.5</v>
      </c>
      <c r="C173" s="36">
        <v>0.17357127589999999</v>
      </c>
      <c r="D173" s="36">
        <v>-4.656918E-5</v>
      </c>
      <c r="E173" s="36">
        <v>-8.68036212E-2</v>
      </c>
    </row>
    <row r="174" spans="2:5" x14ac:dyDescent="0.25">
      <c r="B174" s="35">
        <v>45.75</v>
      </c>
      <c r="C174" s="36">
        <v>0.1716280594</v>
      </c>
      <c r="D174" s="36">
        <v>-3.3693299999999998E-4</v>
      </c>
      <c r="E174" s="36">
        <v>-8.5441761899999996E-2</v>
      </c>
    </row>
    <row r="175" spans="2:5" x14ac:dyDescent="0.25">
      <c r="B175" s="35">
        <v>46</v>
      </c>
      <c r="C175" s="36">
        <v>0.16964308119999999</v>
      </c>
      <c r="D175" s="36">
        <v>-6.2497219999999997E-4</v>
      </c>
      <c r="E175" s="36">
        <v>-8.4032372499999994E-2</v>
      </c>
    </row>
    <row r="176" spans="2:5" x14ac:dyDescent="0.25">
      <c r="B176" s="35">
        <v>46.25</v>
      </c>
      <c r="C176" s="36">
        <v>0.16761769970000001</v>
      </c>
      <c r="D176" s="36">
        <v>-9.1136950000000004E-4</v>
      </c>
      <c r="E176" s="36">
        <v>-8.2576884500000003E-2</v>
      </c>
    </row>
    <row r="177" spans="2:5" x14ac:dyDescent="0.25">
      <c r="B177" s="35">
        <v>46.5</v>
      </c>
      <c r="C177" s="36">
        <v>0.16555332980000001</v>
      </c>
      <c r="D177" s="36">
        <v>-1.196782E-3</v>
      </c>
      <c r="E177" s="36">
        <v>-8.1076882599999997E-2</v>
      </c>
    </row>
    <row r="178" spans="2:5" x14ac:dyDescent="0.25">
      <c r="B178" s="35">
        <v>46.75</v>
      </c>
      <c r="C178" s="36">
        <v>0.1634513943</v>
      </c>
      <c r="D178" s="36">
        <v>-1.4818640000000001E-3</v>
      </c>
      <c r="E178" s="36">
        <v>-7.9533951699999994E-2</v>
      </c>
    </row>
    <row r="179" spans="2:5" x14ac:dyDescent="0.25">
      <c r="B179" s="35">
        <v>47</v>
      </c>
      <c r="C179" s="36">
        <v>0.1613132229</v>
      </c>
      <c r="D179" s="36">
        <v>-1.76727E-3</v>
      </c>
      <c r="E179" s="36">
        <v>-7.7949617499999999E-2</v>
      </c>
    </row>
    <row r="180" spans="2:5" x14ac:dyDescent="0.25">
      <c r="B180" s="35">
        <v>47.25</v>
      </c>
      <c r="C180" s="36">
        <v>0.15914003900000001</v>
      </c>
      <c r="D180" s="36">
        <v>-2.053601E-3</v>
      </c>
      <c r="E180" s="36">
        <v>-7.6325315500000004E-2</v>
      </c>
    </row>
    <row r="181" spans="2:5" x14ac:dyDescent="0.25">
      <c r="B181" s="35">
        <v>47.5</v>
      </c>
      <c r="C181" s="36">
        <v>0.1569329625</v>
      </c>
      <c r="D181" s="36">
        <v>-2.3413349999999999E-3</v>
      </c>
      <c r="E181" s="36">
        <v>-7.4662369800000003E-2</v>
      </c>
    </row>
    <row r="182" spans="2:5" x14ac:dyDescent="0.25">
      <c r="B182" s="35">
        <v>47.75</v>
      </c>
      <c r="C182" s="36">
        <v>0.15469298270000001</v>
      </c>
      <c r="D182" s="36">
        <v>-2.6308659999999999E-3</v>
      </c>
      <c r="E182" s="36">
        <v>-7.2961956800000005E-2</v>
      </c>
    </row>
    <row r="183" spans="2:5" x14ac:dyDescent="0.25">
      <c r="B183" s="35">
        <v>48</v>
      </c>
      <c r="C183" s="36">
        <v>0.1524210852</v>
      </c>
      <c r="D183" s="36">
        <v>-2.922558E-3</v>
      </c>
      <c r="E183" s="36">
        <v>-7.1225140899999997E-2</v>
      </c>
    </row>
    <row r="184" spans="2:5" x14ac:dyDescent="0.25">
      <c r="B184" s="35">
        <v>48.25</v>
      </c>
      <c r="C184" s="36">
        <v>0.1501182657</v>
      </c>
      <c r="D184" s="36">
        <v>-3.21668E-3</v>
      </c>
      <c r="E184" s="36">
        <v>-6.9452766099999994E-2</v>
      </c>
    </row>
    <row r="185" spans="2:5" x14ac:dyDescent="0.25">
      <c r="B185" s="35">
        <v>48.5</v>
      </c>
      <c r="C185" s="36">
        <v>0.14778553320000001</v>
      </c>
      <c r="D185" s="36">
        <v>-3.5132639999999999E-3</v>
      </c>
      <c r="E185" s="36">
        <v>-6.7645046599999994E-2</v>
      </c>
    </row>
    <row r="186" spans="2:5" x14ac:dyDescent="0.25">
      <c r="B186" s="35">
        <v>48.75</v>
      </c>
      <c r="C186" s="36">
        <v>0.14542387779999999</v>
      </c>
      <c r="D186" s="36">
        <v>-3.8122999999999998E-3</v>
      </c>
      <c r="E186" s="36">
        <v>-6.5802080999999998E-2</v>
      </c>
    </row>
    <row r="187" spans="2:5" x14ac:dyDescent="0.25">
      <c r="B187" s="35">
        <v>49</v>
      </c>
      <c r="C187" s="36">
        <v>0.14303424379999999</v>
      </c>
      <c r="D187" s="36">
        <v>-4.1137439999999999E-3</v>
      </c>
      <c r="E187" s="36">
        <v>-6.3924005000000006E-2</v>
      </c>
    </row>
    <row r="188" spans="2:5" x14ac:dyDescent="0.25">
      <c r="B188" s="35">
        <v>49.25</v>
      </c>
      <c r="C188" s="36">
        <v>0.14061751459999999</v>
      </c>
      <c r="D188" s="36">
        <v>-4.4175270000000001E-3</v>
      </c>
      <c r="E188" s="36">
        <v>-6.2011018699999997E-2</v>
      </c>
    </row>
    <row r="189" spans="2:5" x14ac:dyDescent="0.25">
      <c r="B189" s="35">
        <v>49.5</v>
      </c>
      <c r="C189" s="36">
        <v>0.13817448469999999</v>
      </c>
      <c r="D189" s="36">
        <v>-4.7234859999999998E-3</v>
      </c>
      <c r="E189" s="36">
        <v>-6.0063515900000003E-2</v>
      </c>
    </row>
    <row r="190" spans="2:5" x14ac:dyDescent="0.25">
      <c r="B190" s="35">
        <v>49.75</v>
      </c>
      <c r="C190" s="36">
        <v>0.13570591709999999</v>
      </c>
      <c r="D190" s="36">
        <v>-5.0314610000000001E-3</v>
      </c>
      <c r="E190" s="36">
        <v>-5.80819432E-2</v>
      </c>
    </row>
    <row r="191" spans="2:5" x14ac:dyDescent="0.25">
      <c r="B191" s="35">
        <v>50</v>
      </c>
      <c r="C191" s="36">
        <v>0.13321257340000001</v>
      </c>
      <c r="D191" s="36">
        <v>-5.3413619999999997E-3</v>
      </c>
      <c r="E191" s="36">
        <v>-5.6066745100000002E-2</v>
      </c>
    </row>
    <row r="192" spans="2:5" x14ac:dyDescent="0.25">
      <c r="B192" s="35">
        <v>50.25</v>
      </c>
      <c r="C192" s="36">
        <v>0.1306951767</v>
      </c>
      <c r="D192" s="36">
        <v>-5.6531690000000004E-3</v>
      </c>
      <c r="E192" s="36">
        <v>-5.4018432599999999E-2</v>
      </c>
    </row>
    <row r="193" spans="2:5" x14ac:dyDescent="0.25">
      <c r="B193" s="35">
        <v>50.5</v>
      </c>
      <c r="C193" s="36">
        <v>0.1281544121</v>
      </c>
      <c r="D193" s="36">
        <v>-5.9669429999999997E-3</v>
      </c>
      <c r="E193" s="36">
        <v>-5.1937562399999998E-2</v>
      </c>
    </row>
    <row r="194" spans="2:5" x14ac:dyDescent="0.25">
      <c r="B194" s="35">
        <v>50.75</v>
      </c>
      <c r="C194" s="36">
        <v>0.12559091689999999</v>
      </c>
      <c r="D194" s="36">
        <v>-6.2827769999999998E-3</v>
      </c>
      <c r="E194" s="36">
        <v>-4.9824604000000002E-2</v>
      </c>
    </row>
    <row r="195" spans="2:5" x14ac:dyDescent="0.25">
      <c r="B195" s="35">
        <v>51</v>
      </c>
      <c r="C195" s="36">
        <v>0.1230052923</v>
      </c>
      <c r="D195" s="36">
        <v>-6.6007820000000004E-3</v>
      </c>
      <c r="E195" s="36">
        <v>-4.7679948700000002E-2</v>
      </c>
    </row>
    <row r="196" spans="2:5" x14ac:dyDescent="0.25">
      <c r="B196" s="35">
        <v>51.25</v>
      </c>
      <c r="C196" s="36">
        <v>0.12039808890000001</v>
      </c>
      <c r="D196" s="36">
        <v>-6.9210679999999998E-3</v>
      </c>
      <c r="E196" s="36">
        <v>-4.55040258E-2</v>
      </c>
    </row>
    <row r="197" spans="2:5" x14ac:dyDescent="0.25">
      <c r="B197" s="35">
        <v>51.5</v>
      </c>
      <c r="C197" s="36">
        <v>0.1177696854</v>
      </c>
      <c r="D197" s="36">
        <v>-7.2436979999999998E-3</v>
      </c>
      <c r="E197" s="36">
        <v>-4.3297440499999999E-2</v>
      </c>
    </row>
    <row r="198" spans="2:5" x14ac:dyDescent="0.25">
      <c r="B198" s="35">
        <v>51.75</v>
      </c>
      <c r="C198" s="36">
        <v>0.11512037310000001</v>
      </c>
      <c r="D198" s="36">
        <v>-7.5687109999999997E-3</v>
      </c>
      <c r="E198" s="36">
        <v>-4.1060823099999998E-2</v>
      </c>
    </row>
    <row r="199" spans="2:5" x14ac:dyDescent="0.25">
      <c r="B199" s="35">
        <v>52</v>
      </c>
      <c r="C199" s="36">
        <v>0.11245041710000001</v>
      </c>
      <c r="D199" s="36">
        <v>-7.8961599999999993E-3</v>
      </c>
      <c r="E199" s="36">
        <v>-3.8794808799999997E-2</v>
      </c>
    </row>
    <row r="200" spans="2:5" x14ac:dyDescent="0.25">
      <c r="B200" s="35">
        <v>52.25</v>
      </c>
      <c r="C200" s="36">
        <v>0.10976010109999999</v>
      </c>
      <c r="D200" s="36">
        <v>-8.2261009999999996E-3</v>
      </c>
      <c r="E200" s="36">
        <v>-3.6500052200000001E-2</v>
      </c>
    </row>
    <row r="201" spans="2:5" x14ac:dyDescent="0.25">
      <c r="B201" s="35">
        <v>52.5</v>
      </c>
      <c r="C201" s="36">
        <v>0.10704982590000001</v>
      </c>
      <c r="D201" s="36">
        <v>-8.5585320000000006E-3</v>
      </c>
      <c r="E201" s="36">
        <v>-3.4177186900000003E-2</v>
      </c>
    </row>
    <row r="202" spans="2:5" x14ac:dyDescent="0.25">
      <c r="B202" s="35">
        <v>52.75</v>
      </c>
      <c r="C202" s="36">
        <v>0.10432004490000001</v>
      </c>
      <c r="D202" s="36">
        <v>-8.8935009999999998E-3</v>
      </c>
      <c r="E202" s="36">
        <v>-3.18268248E-2</v>
      </c>
    </row>
    <row r="203" spans="2:5" x14ac:dyDescent="0.25">
      <c r="B203" s="35">
        <v>53</v>
      </c>
      <c r="C203" s="36">
        <v>0.10157121099999999</v>
      </c>
      <c r="D203" s="36">
        <v>-9.2310570000000008E-3</v>
      </c>
      <c r="E203" s="36">
        <v>-2.94496325E-2</v>
      </c>
    </row>
    <row r="204" spans="2:5" x14ac:dyDescent="0.25">
      <c r="B204" s="35">
        <v>53.25</v>
      </c>
      <c r="C204" s="36">
        <v>9.8803758500000005E-2</v>
      </c>
      <c r="D204" s="36">
        <v>-9.5712030000000003E-3</v>
      </c>
      <c r="E204" s="36">
        <v>-2.7046324199999999E-2</v>
      </c>
    </row>
    <row r="205" spans="2:5" x14ac:dyDescent="0.25">
      <c r="B205" s="35">
        <v>53.5</v>
      </c>
      <c r="C205" s="36">
        <v>9.6018066700000002E-2</v>
      </c>
      <c r="D205" s="36">
        <v>-9.9138170000000001E-3</v>
      </c>
      <c r="E205" s="36">
        <v>-2.46175226E-2</v>
      </c>
    </row>
    <row r="206" spans="2:5" x14ac:dyDescent="0.25">
      <c r="B206" s="35">
        <v>53.75</v>
      </c>
      <c r="C206" s="36">
        <v>9.3214508599999996E-2</v>
      </c>
      <c r="D206" s="36">
        <v>-1.0258750000000001E-2</v>
      </c>
      <c r="E206" s="36">
        <v>-2.2163798200000001E-2</v>
      </c>
    </row>
    <row r="207" spans="2:5" x14ac:dyDescent="0.25">
      <c r="B207" s="35">
        <v>54</v>
      </c>
      <c r="C207" s="36">
        <v>9.0393453799999995E-2</v>
      </c>
      <c r="D207" s="36">
        <v>-1.060586E-2</v>
      </c>
      <c r="E207" s="36">
        <v>-1.9685707600000001E-2</v>
      </c>
    </row>
    <row r="208" spans="2:5" x14ac:dyDescent="0.25">
      <c r="B208" s="35">
        <v>54.25</v>
      </c>
      <c r="C208" s="36">
        <v>8.7555256100000006E-2</v>
      </c>
      <c r="D208" s="36">
        <v>-1.0955019999999999E-2</v>
      </c>
      <c r="E208" s="36">
        <v>-1.7183817800000001E-2</v>
      </c>
    </row>
    <row r="209" spans="2:5" x14ac:dyDescent="0.25">
      <c r="B209" s="35">
        <v>54.5</v>
      </c>
      <c r="C209" s="36">
        <v>8.4700231900000006E-2</v>
      </c>
      <c r="D209" s="36">
        <v>-1.130602E-2</v>
      </c>
      <c r="E209" s="36">
        <v>-1.46586731E-2</v>
      </c>
    </row>
    <row r="210" spans="2:5" x14ac:dyDescent="0.25">
      <c r="B210" s="35">
        <v>54.75</v>
      </c>
      <c r="C210" s="36">
        <v>8.1828669600000001E-2</v>
      </c>
      <c r="D210" s="36">
        <v>-1.165863E-2</v>
      </c>
      <c r="E210" s="36">
        <v>-1.21107834E-2</v>
      </c>
    </row>
    <row r="211" spans="2:5" x14ac:dyDescent="0.25">
      <c r="B211" s="35">
        <v>55</v>
      </c>
      <c r="C211" s="36">
        <v>7.8940839499999998E-2</v>
      </c>
      <c r="D211" s="36">
        <v>-1.201267E-2</v>
      </c>
      <c r="E211" s="36">
        <v>-9.5406384000000007E-3</v>
      </c>
    </row>
    <row r="212" spans="2:5" x14ac:dyDescent="0.25">
      <c r="B212" s="35">
        <v>55.25</v>
      </c>
      <c r="C212" s="36">
        <v>7.6037062799999999E-2</v>
      </c>
      <c r="D212" s="36">
        <v>-1.2367990000000001E-2</v>
      </c>
      <c r="E212" s="36">
        <v>-6.9486974999999999E-3</v>
      </c>
    </row>
    <row r="213" spans="2:5" x14ac:dyDescent="0.25">
      <c r="B213" s="35">
        <v>55.5</v>
      </c>
      <c r="C213" s="36">
        <v>7.3117866500000003E-2</v>
      </c>
      <c r="D213" s="36">
        <v>-1.272442E-2</v>
      </c>
      <c r="E213" s="36">
        <v>-4.3353411999999996E-3</v>
      </c>
    </row>
    <row r="214" spans="2:5" x14ac:dyDescent="0.25">
      <c r="B214" s="35">
        <v>55.75</v>
      </c>
      <c r="C214" s="36">
        <v>7.0183845499999994E-2</v>
      </c>
      <c r="D214" s="36">
        <v>-1.3081829999999999E-2</v>
      </c>
      <c r="E214" s="36">
        <v>-1.7008933999999999E-3</v>
      </c>
    </row>
    <row r="215" spans="2:5" x14ac:dyDescent="0.25">
      <c r="B215" s="35">
        <v>56</v>
      </c>
      <c r="C215" s="36">
        <v>6.7235615600000007E-2</v>
      </c>
      <c r="D215" s="36">
        <v>-1.344007E-2</v>
      </c>
      <c r="E215" s="36">
        <v>9.5436869999999995E-4</v>
      </c>
    </row>
    <row r="216" spans="2:5" x14ac:dyDescent="0.25">
      <c r="B216" s="35">
        <v>56.25</v>
      </c>
      <c r="C216" s="36">
        <v>6.4273768100000003E-2</v>
      </c>
      <c r="D216" s="36">
        <v>-1.379901E-2</v>
      </c>
      <c r="E216" s="36">
        <v>3.6301675999999999E-3</v>
      </c>
    </row>
    <row r="217" spans="2:5" x14ac:dyDescent="0.25">
      <c r="B217" s="35">
        <v>56.5</v>
      </c>
      <c r="C217" s="36">
        <v>6.1298975999999998E-2</v>
      </c>
      <c r="D217" s="36">
        <v>-1.4158469999999999E-2</v>
      </c>
      <c r="E217" s="36">
        <v>6.3262138000000001E-3</v>
      </c>
    </row>
    <row r="218" spans="2:5" x14ac:dyDescent="0.25">
      <c r="B218" s="35">
        <v>56.75</v>
      </c>
      <c r="C218" s="36">
        <v>5.8311968899999997E-2</v>
      </c>
      <c r="D218" s="36">
        <v>-1.45183E-2</v>
      </c>
      <c r="E218" s="36">
        <v>9.0422372000000008E-3</v>
      </c>
    </row>
    <row r="219" spans="2:5" x14ac:dyDescent="0.25">
      <c r="B219" s="35">
        <v>57</v>
      </c>
      <c r="C219" s="36">
        <v>5.5313464E-2</v>
      </c>
      <c r="D219" s="36">
        <v>-1.487838E-2</v>
      </c>
      <c r="E219" s="36">
        <v>1.1777942200000001E-2</v>
      </c>
    </row>
    <row r="220" spans="2:5" x14ac:dyDescent="0.25">
      <c r="B220" s="35">
        <v>57.25</v>
      </c>
      <c r="C220" s="36">
        <v>5.2304158400000002E-2</v>
      </c>
      <c r="D220" s="36">
        <v>-1.523859E-2</v>
      </c>
      <c r="E220" s="36">
        <v>1.45329407E-2</v>
      </c>
    </row>
    <row r="221" spans="2:5" x14ac:dyDescent="0.25">
      <c r="B221" s="35">
        <v>57.5</v>
      </c>
      <c r="C221" s="36">
        <v>4.9284769399999998E-2</v>
      </c>
      <c r="D221" s="36">
        <v>-1.5598799999999999E-2</v>
      </c>
      <c r="E221" s="36">
        <v>1.7306673799999998E-2</v>
      </c>
    </row>
    <row r="222" spans="2:5" x14ac:dyDescent="0.25">
      <c r="B222" s="35">
        <v>57.75</v>
      </c>
      <c r="C222" s="36">
        <v>4.6256018900000001E-2</v>
      </c>
      <c r="D222" s="36">
        <v>-1.5958880000000002E-2</v>
      </c>
      <c r="E222" s="36">
        <v>2.0098531999999999E-2</v>
      </c>
    </row>
    <row r="223" spans="2:5" x14ac:dyDescent="0.25">
      <c r="B223" s="35">
        <v>58</v>
      </c>
      <c r="C223" s="36">
        <v>4.3218643700000003E-2</v>
      </c>
      <c r="D223" s="36">
        <v>-1.631871E-2</v>
      </c>
      <c r="E223" s="36">
        <v>2.2907926799999999E-2</v>
      </c>
    </row>
    <row r="224" spans="2:5" x14ac:dyDescent="0.25">
      <c r="B224" s="35">
        <v>58.25</v>
      </c>
      <c r="C224" s="36">
        <v>4.0173387099999999E-2</v>
      </c>
      <c r="D224" s="36">
        <v>-1.6678220000000001E-2</v>
      </c>
      <c r="E224" s="36">
        <v>2.57342783E-2</v>
      </c>
    </row>
    <row r="225" spans="2:5" x14ac:dyDescent="0.25">
      <c r="B225" s="35">
        <v>58.5</v>
      </c>
      <c r="C225" s="36">
        <v>3.7121077299999999E-2</v>
      </c>
      <c r="D225" s="36">
        <v>-1.7037380000000001E-2</v>
      </c>
      <c r="E225" s="36">
        <v>2.8577084700000002E-2</v>
      </c>
    </row>
    <row r="226" spans="2:5" x14ac:dyDescent="0.25">
      <c r="B226" s="35">
        <v>58.75</v>
      </c>
      <c r="C226" s="36">
        <v>3.4062566400000001E-2</v>
      </c>
      <c r="D226" s="36">
        <v>-1.7396189999999999E-2</v>
      </c>
      <c r="E226" s="36">
        <v>3.14358603E-2</v>
      </c>
    </row>
    <row r="227" spans="2:5" x14ac:dyDescent="0.25">
      <c r="B227" s="35">
        <v>59</v>
      </c>
      <c r="C227" s="36">
        <v>3.0998711000000002E-2</v>
      </c>
      <c r="D227" s="36">
        <v>-1.775467E-2</v>
      </c>
      <c r="E227" s="36">
        <v>3.4310128299999999E-2</v>
      </c>
    </row>
    <row r="228" spans="2:5" x14ac:dyDescent="0.25">
      <c r="B228" s="35">
        <v>59.25</v>
      </c>
      <c r="C228" s="36">
        <v>2.79303165E-2</v>
      </c>
      <c r="D228" s="36">
        <v>-1.8112820000000002E-2</v>
      </c>
      <c r="E228" s="36">
        <v>3.7199418400000003E-2</v>
      </c>
    </row>
    <row r="229" spans="2:5" x14ac:dyDescent="0.25">
      <c r="B229" s="35">
        <v>59.5</v>
      </c>
      <c r="C229" s="36">
        <v>2.4858003100000001E-2</v>
      </c>
      <c r="D229" s="36">
        <v>-1.8470589999999999E-2</v>
      </c>
      <c r="E229" s="36">
        <v>4.0103285699999998E-2</v>
      </c>
    </row>
    <row r="230" spans="2:5" x14ac:dyDescent="0.25">
      <c r="B230" s="35">
        <v>59.75</v>
      </c>
      <c r="C230" s="36">
        <v>2.1782286299999998E-2</v>
      </c>
      <c r="D230" s="36">
        <v>-1.882789E-2</v>
      </c>
      <c r="E230" s="36">
        <v>4.3021311899999998E-2</v>
      </c>
    </row>
    <row r="231" spans="2:5" x14ac:dyDescent="0.25">
      <c r="B231" s="35">
        <v>60</v>
      </c>
      <c r="C231" s="36">
        <v>1.87036527E-2</v>
      </c>
      <c r="D231" s="36">
        <v>-1.9184619999999999E-2</v>
      </c>
      <c r="E231" s="36">
        <v>4.5953070399999997E-2</v>
      </c>
    </row>
    <row r="232" spans="2:5" x14ac:dyDescent="0.25">
      <c r="B232" s="35">
        <v>60.25</v>
      </c>
      <c r="C232" s="36">
        <v>1.5622624E-2</v>
      </c>
      <c r="D232" s="36">
        <v>-1.9540720000000001E-2</v>
      </c>
      <c r="E232" s="36">
        <v>4.8898096600000003E-2</v>
      </c>
    </row>
    <row r="233" spans="2:5" x14ac:dyDescent="0.25">
      <c r="B233" s="35">
        <v>60.5</v>
      </c>
      <c r="C233" s="36">
        <v>1.2539761E-2</v>
      </c>
      <c r="D233" s="36">
        <v>-1.9896199999999999E-2</v>
      </c>
      <c r="E233" s="36">
        <v>5.1855726800000002E-2</v>
      </c>
    </row>
    <row r="234" spans="2:5" x14ac:dyDescent="0.25">
      <c r="B234" s="35">
        <v>60.75</v>
      </c>
      <c r="C234" s="36">
        <v>9.4556129999999999E-3</v>
      </c>
      <c r="D234" s="36">
        <v>-2.0251060000000001E-2</v>
      </c>
      <c r="E234" s="36">
        <v>5.4825263800000003E-2</v>
      </c>
    </row>
    <row r="235" spans="2:5" x14ac:dyDescent="0.25">
      <c r="B235" s="35">
        <v>61</v>
      </c>
      <c r="C235" s="36">
        <v>6.3707234000000001E-3</v>
      </c>
      <c r="D235" s="36">
        <v>-2.0605330000000002E-2</v>
      </c>
      <c r="E235" s="36">
        <v>5.7806028799999999E-2</v>
      </c>
    </row>
    <row r="236" spans="2:5" x14ac:dyDescent="0.25">
      <c r="B236" s="35">
        <v>61.25</v>
      </c>
      <c r="C236" s="36">
        <v>3.2855954999999998E-3</v>
      </c>
      <c r="D236" s="36">
        <v>-2.0959060000000002E-2</v>
      </c>
      <c r="E236" s="36">
        <v>6.0797341599999999E-2</v>
      </c>
    </row>
    <row r="237" spans="2:5" x14ac:dyDescent="0.25">
      <c r="B237" s="35">
        <v>61.5</v>
      </c>
      <c r="C237" s="36">
        <v>2.006093E-4</v>
      </c>
      <c r="D237" s="36">
        <v>-2.1312250000000001E-2</v>
      </c>
      <c r="E237" s="36">
        <v>6.3798537000000002E-2</v>
      </c>
    </row>
    <row r="238" spans="2:5" x14ac:dyDescent="0.25">
      <c r="B238" s="35">
        <v>61.75</v>
      </c>
      <c r="C238" s="36">
        <v>-2.8839078000000001E-3</v>
      </c>
      <c r="D238" s="36">
        <v>-2.1664940000000001E-2</v>
      </c>
      <c r="E238" s="36">
        <v>6.68089449E-2</v>
      </c>
    </row>
    <row r="239" spans="2:5" x14ac:dyDescent="0.25">
      <c r="B239" s="35">
        <v>62</v>
      </c>
      <c r="C239" s="36">
        <v>-5.9676644000000003E-3</v>
      </c>
      <c r="D239" s="36">
        <v>-2.2017140000000001E-2</v>
      </c>
      <c r="E239" s="36">
        <v>6.9827915399999996E-2</v>
      </c>
    </row>
    <row r="240" spans="2:5" x14ac:dyDescent="0.25">
      <c r="B240" s="35">
        <v>62.25</v>
      </c>
      <c r="C240" s="36">
        <v>-9.0503961999999997E-3</v>
      </c>
      <c r="D240" s="36">
        <v>-2.2368849999999999E-2</v>
      </c>
      <c r="E240" s="36">
        <v>7.2854759899999996E-2</v>
      </c>
    </row>
    <row r="241" spans="2:5" x14ac:dyDescent="0.25">
      <c r="B241" s="35">
        <v>62.5</v>
      </c>
      <c r="C241" s="36">
        <v>-1.21319055E-2</v>
      </c>
      <c r="D241" s="36">
        <v>-2.27201E-2</v>
      </c>
      <c r="E241" s="36">
        <v>7.5888636999999995E-2</v>
      </c>
    </row>
    <row r="242" spans="2:5" x14ac:dyDescent="0.25">
      <c r="B242" s="35">
        <v>62.75</v>
      </c>
      <c r="C242" s="36">
        <v>-1.52120174E-2</v>
      </c>
      <c r="D242" s="36">
        <v>-2.307093E-2</v>
      </c>
      <c r="E242" s="36">
        <v>7.89286706E-2</v>
      </c>
    </row>
    <row r="243" spans="2:5" x14ac:dyDescent="0.25">
      <c r="B243" s="35">
        <v>63</v>
      </c>
      <c r="C243" s="36">
        <v>-1.8290553000000001E-2</v>
      </c>
      <c r="D243" s="36">
        <v>-2.3421419999999998E-2</v>
      </c>
      <c r="E243" s="36">
        <v>8.1974003700000006E-2</v>
      </c>
    </row>
    <row r="244" spans="2:5" x14ac:dyDescent="0.25">
      <c r="B244" s="35">
        <v>63.25</v>
      </c>
      <c r="C244" s="36">
        <v>-2.1367339799999999E-2</v>
      </c>
      <c r="D244" s="36">
        <v>-2.377162E-2</v>
      </c>
      <c r="E244" s="36">
        <v>8.5023810899999996E-2</v>
      </c>
    </row>
    <row r="245" spans="2:5" x14ac:dyDescent="0.25">
      <c r="B245" s="35">
        <v>63.5</v>
      </c>
      <c r="C245" s="36">
        <v>-2.4442300699999999E-2</v>
      </c>
      <c r="D245" s="36">
        <v>-2.4121529999999999E-2</v>
      </c>
      <c r="E245" s="36">
        <v>8.8077293200000004E-2</v>
      </c>
    </row>
    <row r="246" spans="2:5" x14ac:dyDescent="0.25">
      <c r="B246" s="35">
        <v>63.75</v>
      </c>
      <c r="C246" s="36">
        <v>-2.75153941E-2</v>
      </c>
      <c r="D246" s="36">
        <v>-2.4471139999999999E-2</v>
      </c>
      <c r="E246" s="36">
        <v>9.1133689300000001E-2</v>
      </c>
    </row>
    <row r="247" spans="2:5" x14ac:dyDescent="0.25">
      <c r="B247" s="35">
        <v>64</v>
      </c>
      <c r="C247" s="36">
        <v>-3.0586581099999999E-2</v>
      </c>
      <c r="D247" s="36">
        <v>-2.4820439999999999E-2</v>
      </c>
      <c r="E247" s="36">
        <v>9.4192260400000005E-2</v>
      </c>
    </row>
    <row r="248" spans="2:5" x14ac:dyDescent="0.25">
      <c r="B248" s="35">
        <v>64.25</v>
      </c>
      <c r="C248" s="36">
        <v>-3.3655813299999997E-2</v>
      </c>
      <c r="D248" s="36">
        <v>-2.516941E-2</v>
      </c>
      <c r="E248" s="36">
        <v>9.7252276900000004E-2</v>
      </c>
    </row>
    <row r="249" spans="2:5" x14ac:dyDescent="0.25">
      <c r="B249" s="35">
        <v>64.5</v>
      </c>
      <c r="C249" s="36">
        <v>-3.6722966000000003E-2</v>
      </c>
      <c r="D249" s="36">
        <v>-2.5518079999999999E-2</v>
      </c>
      <c r="E249" s="36">
        <v>0.1003130055</v>
      </c>
    </row>
    <row r="250" spans="2:5" x14ac:dyDescent="0.25">
      <c r="B250" s="35">
        <v>64.75</v>
      </c>
      <c r="C250" s="36">
        <v>-3.9787848000000001E-2</v>
      </c>
      <c r="D250" s="36">
        <v>-2.5866500000000001E-2</v>
      </c>
      <c r="E250" s="36">
        <v>0.1033737515</v>
      </c>
    </row>
    <row r="251" spans="2:5" x14ac:dyDescent="0.25">
      <c r="B251" s="35">
        <v>65</v>
      </c>
      <c r="C251" s="36">
        <v>-4.2850263700000002E-2</v>
      </c>
      <c r="D251" s="36">
        <v>-2.621474E-2</v>
      </c>
      <c r="E251" s="36">
        <v>0.1064338383</v>
      </c>
    </row>
    <row r="252" spans="2:5" x14ac:dyDescent="0.25">
      <c r="B252" s="35">
        <v>65.25</v>
      </c>
      <c r="C252" s="36">
        <v>-4.5910035000000002E-2</v>
      </c>
      <c r="D252" s="36">
        <v>-2.6562860000000001E-2</v>
      </c>
      <c r="E252" s="36">
        <v>0.10949263670000001</v>
      </c>
    </row>
    <row r="253" spans="2:5" x14ac:dyDescent="0.25">
      <c r="B253" s="35">
        <v>65.5</v>
      </c>
      <c r="C253" s="36">
        <v>-4.8967003299999999E-2</v>
      </c>
      <c r="D253" s="36">
        <v>-2.691091E-2</v>
      </c>
      <c r="E253" s="36">
        <v>0.11254961600000001</v>
      </c>
    </row>
    <row r="254" spans="2:5" x14ac:dyDescent="0.25">
      <c r="B254" s="35">
        <v>65.75</v>
      </c>
      <c r="C254" s="36">
        <v>-5.20209991E-2</v>
      </c>
      <c r="D254" s="36">
        <v>-2.7258959999999999E-2</v>
      </c>
      <c r="E254" s="36">
        <v>0.1156042961</v>
      </c>
    </row>
    <row r="255" spans="2:5" x14ac:dyDescent="0.25">
      <c r="B255" s="35">
        <v>66</v>
      </c>
      <c r="C255" s="36">
        <v>-5.5071858699999997E-2</v>
      </c>
      <c r="D255" s="36">
        <v>-2.7607059999999999E-2</v>
      </c>
      <c r="E255" s="36">
        <v>0.1186562291</v>
      </c>
    </row>
    <row r="256" spans="2:5" x14ac:dyDescent="0.25">
      <c r="B256" s="35">
        <v>66.25</v>
      </c>
      <c r="C256" s="36">
        <v>-5.8119455399999999E-2</v>
      </c>
      <c r="D256" s="36">
        <v>-2.7955270000000001E-2</v>
      </c>
      <c r="E256" s="36">
        <v>0.12170497199999999</v>
      </c>
    </row>
    <row r="257" spans="2:5" x14ac:dyDescent="0.25">
      <c r="B257" s="35">
        <v>66.5</v>
      </c>
      <c r="C257" s="36">
        <v>-6.1163729E-2</v>
      </c>
      <c r="D257" s="36">
        <v>-2.8303620000000002E-2</v>
      </c>
      <c r="E257" s="36">
        <v>0.124750102</v>
      </c>
    </row>
    <row r="258" spans="2:5" x14ac:dyDescent="0.25">
      <c r="B258" s="35">
        <v>66.75</v>
      </c>
      <c r="C258" s="36">
        <v>-6.4204612199999997E-2</v>
      </c>
      <c r="D258" s="36">
        <v>-2.8652159999999999E-2</v>
      </c>
      <c r="E258" s="36">
        <v>0.12779121630000001</v>
      </c>
    </row>
    <row r="259" spans="2:5" x14ac:dyDescent="0.25">
      <c r="B259" s="35">
        <v>67</v>
      </c>
      <c r="C259" s="36">
        <v>-6.7242032699999996E-2</v>
      </c>
      <c r="D259" s="36">
        <v>-2.9000930000000001E-2</v>
      </c>
      <c r="E259" s="36">
        <v>0.1308279124</v>
      </c>
    </row>
    <row r="260" spans="2:5" x14ac:dyDescent="0.25">
      <c r="B260" s="35">
        <v>67.25</v>
      </c>
      <c r="C260" s="36">
        <v>-7.0275914800000006E-2</v>
      </c>
      <c r="D260" s="36">
        <v>-2.934995E-2</v>
      </c>
      <c r="E260" s="36">
        <v>0.1338598074</v>
      </c>
    </row>
    <row r="261" spans="2:5" x14ac:dyDescent="0.25">
      <c r="B261" s="35">
        <v>67.5</v>
      </c>
      <c r="C261" s="36">
        <v>-7.3306173000000002E-2</v>
      </c>
      <c r="D261" s="36">
        <v>-2.9699159999999999E-2</v>
      </c>
      <c r="E261" s="36">
        <v>0.13688657000000001</v>
      </c>
    </row>
    <row r="262" spans="2:5" x14ac:dyDescent="0.25">
      <c r="B262" s="35">
        <v>67.75</v>
      </c>
      <c r="C262" s="36">
        <v>-7.6332682700000001E-2</v>
      </c>
      <c r="D262" s="36">
        <v>-3.0048499999999999E-2</v>
      </c>
      <c r="E262" s="36">
        <v>0.1399079017</v>
      </c>
    </row>
    <row r="263" spans="2:5" x14ac:dyDescent="0.25">
      <c r="B263" s="35">
        <v>68</v>
      </c>
      <c r="C263" s="36">
        <v>-7.9355270899999997E-2</v>
      </c>
      <c r="D263" s="36">
        <v>-3.039789E-2</v>
      </c>
      <c r="E263" s="36">
        <v>0.1429235247</v>
      </c>
    </row>
    <row r="264" spans="2:5" x14ac:dyDescent="0.25">
      <c r="B264" s="35">
        <v>68.25</v>
      </c>
      <c r="C264" s="36">
        <v>-8.2373755100000001E-2</v>
      </c>
      <c r="D264" s="36">
        <v>-3.074727E-2</v>
      </c>
      <c r="E264" s="36">
        <v>0.1459331723</v>
      </c>
    </row>
    <row r="265" spans="2:5" x14ac:dyDescent="0.25">
      <c r="B265" s="35">
        <v>68.5</v>
      </c>
      <c r="C265" s="36">
        <v>-8.5387929299999998E-2</v>
      </c>
      <c r="D265" s="36">
        <v>-3.1096539999999999E-2</v>
      </c>
      <c r="E265" s="36">
        <v>0.1489366201</v>
      </c>
    </row>
    <row r="266" spans="2:5" x14ac:dyDescent="0.25">
      <c r="B266" s="35">
        <v>68.75</v>
      </c>
      <c r="C266" s="36">
        <v>-8.8397582399999994E-2</v>
      </c>
      <c r="D266" s="36">
        <v>-3.1445599999999997E-2</v>
      </c>
      <c r="E266" s="36">
        <v>0.15193365289999999</v>
      </c>
    </row>
    <row r="267" spans="2:5" x14ac:dyDescent="0.25">
      <c r="B267" s="35">
        <v>69</v>
      </c>
      <c r="C267" s="36">
        <v>-9.1402500900000003E-2</v>
      </c>
      <c r="D267" s="36">
        <v>-3.1794370000000002E-2</v>
      </c>
      <c r="E267" s="36">
        <v>0.15492406210000001</v>
      </c>
    </row>
    <row r="268" spans="2:5" x14ac:dyDescent="0.25">
      <c r="B268" s="35">
        <v>69.25</v>
      </c>
      <c r="C268" s="36">
        <v>-9.4402471799999998E-2</v>
      </c>
      <c r="D268" s="36">
        <v>-3.2142749999999998E-2</v>
      </c>
      <c r="E268" s="36">
        <v>0.15790768220000001</v>
      </c>
    </row>
    <row r="269" spans="2:5" x14ac:dyDescent="0.25">
      <c r="B269" s="35">
        <v>69.5</v>
      </c>
      <c r="C269" s="36">
        <v>-9.7397381500000005E-2</v>
      </c>
      <c r="D269" s="36">
        <v>-3.2490659999999998E-2</v>
      </c>
      <c r="E269" s="36">
        <v>0.16088438860000001</v>
      </c>
    </row>
    <row r="270" spans="2:5" x14ac:dyDescent="0.25">
      <c r="B270" s="35">
        <v>69.75</v>
      </c>
      <c r="C270" s="36">
        <v>-0.10038714780000001</v>
      </c>
      <c r="D270" s="36">
        <v>-3.2837999999999999E-2</v>
      </c>
      <c r="E270" s="36">
        <v>0.1638540614</v>
      </c>
    </row>
    <row r="271" spans="2:5" x14ac:dyDescent="0.25">
      <c r="B271" s="35">
        <v>70</v>
      </c>
      <c r="C271" s="36">
        <v>-0.1033716931</v>
      </c>
      <c r="D271" s="36">
        <v>-3.3184680000000001E-2</v>
      </c>
      <c r="E271" s="36">
        <v>0.1668165781</v>
      </c>
    </row>
    <row r="272" spans="2:5" x14ac:dyDescent="0.25">
      <c r="B272" s="35">
        <v>70.25</v>
      </c>
      <c r="C272" s="36">
        <v>-0.10635094320000001</v>
      </c>
      <c r="D272" s="36">
        <v>-3.3530629999999999E-2</v>
      </c>
      <c r="E272" s="36">
        <v>0.16977183609999999</v>
      </c>
    </row>
    <row r="273" spans="2:5" x14ac:dyDescent="0.25">
      <c r="B273" s="35">
        <v>70.5</v>
      </c>
      <c r="C273" s="36">
        <v>-0.10932482509999999</v>
      </c>
      <c r="D273" s="36">
        <v>-3.3875719999999998E-2</v>
      </c>
      <c r="E273" s="36">
        <v>0.17271980919999999</v>
      </c>
    </row>
    <row r="274" spans="2:5" x14ac:dyDescent="0.25">
      <c r="B274" s="35">
        <v>70.75</v>
      </c>
      <c r="C274" s="36">
        <v>-0.1122932692</v>
      </c>
      <c r="D274" s="36">
        <v>-3.421983E-2</v>
      </c>
      <c r="E274" s="36">
        <v>0.17566048479999999</v>
      </c>
    </row>
    <row r="275" spans="2:5" x14ac:dyDescent="0.25">
      <c r="B275" s="35">
        <v>71</v>
      </c>
      <c r="C275" s="36">
        <v>-0.11525621010000001</v>
      </c>
      <c r="D275" s="36">
        <v>-3.4562870000000002E-2</v>
      </c>
      <c r="E275" s="36">
        <v>0.17859384980000001</v>
      </c>
    </row>
    <row r="276" spans="2:5" x14ac:dyDescent="0.25">
      <c r="B276" s="35">
        <v>71.25</v>
      </c>
      <c r="C276" s="36">
        <v>-0.118213543</v>
      </c>
      <c r="D276" s="36">
        <v>-3.4904730000000002E-2</v>
      </c>
      <c r="E276" s="36">
        <v>0.18151992080000001</v>
      </c>
    </row>
    <row r="277" spans="2:5" x14ac:dyDescent="0.25">
      <c r="B277" s="35">
        <v>71.5</v>
      </c>
      <c r="C277" s="36">
        <v>-0.1211651653</v>
      </c>
      <c r="D277" s="36">
        <v>-3.524534E-2</v>
      </c>
      <c r="E277" s="36">
        <v>0.18443872140000001</v>
      </c>
    </row>
    <row r="278" spans="2:5" x14ac:dyDescent="0.25">
      <c r="B278" s="35">
        <v>71.75</v>
      </c>
      <c r="C278" s="36">
        <v>-0.1241109853</v>
      </c>
      <c r="D278" s="36">
        <v>-3.5584619999999997E-2</v>
      </c>
      <c r="E278" s="36">
        <v>0.1873502682</v>
      </c>
    </row>
    <row r="279" spans="2:5" x14ac:dyDescent="0.25">
      <c r="B279" s="35">
        <v>72</v>
      </c>
      <c r="C279" s="36">
        <v>-0.12705091830000001</v>
      </c>
      <c r="D279" s="36">
        <v>-3.5922519999999999E-2</v>
      </c>
      <c r="E279" s="36">
        <v>0.19025456600000001</v>
      </c>
    </row>
    <row r="280" spans="2:5" x14ac:dyDescent="0.25">
      <c r="B280" s="35">
        <v>72.25</v>
      </c>
      <c r="C280" s="36">
        <v>-0.1299848824</v>
      </c>
      <c r="D280" s="36">
        <v>-3.6258989999999998E-2</v>
      </c>
      <c r="E280" s="36">
        <v>0.19315159639999999</v>
      </c>
    </row>
    <row r="281" spans="2:5" x14ac:dyDescent="0.25">
      <c r="B281" s="35">
        <v>72.5</v>
      </c>
      <c r="C281" s="36">
        <v>-0.13291278009999999</v>
      </c>
      <c r="D281" s="36">
        <v>-3.6593979999999998E-2</v>
      </c>
      <c r="E281" s="36">
        <v>0.19604131869999999</v>
      </c>
    </row>
    <row r="282" spans="2:5" x14ac:dyDescent="0.25">
      <c r="B282" s="35">
        <v>72.75</v>
      </c>
      <c r="C282" s="36">
        <v>-0.13583450620000001</v>
      </c>
      <c r="D282" s="36">
        <v>-3.692749E-2</v>
      </c>
      <c r="E282" s="36">
        <v>0.19892368860000001</v>
      </c>
    </row>
    <row r="283" spans="2:5" x14ac:dyDescent="0.25">
      <c r="B283" s="35">
        <v>73</v>
      </c>
      <c r="C283" s="36">
        <v>-0.13874994339999999</v>
      </c>
      <c r="D283" s="36">
        <v>-3.7259479999999998E-2</v>
      </c>
      <c r="E283" s="36">
        <v>0.20179867109999999</v>
      </c>
    </row>
    <row r="284" spans="2:5" x14ac:dyDescent="0.25">
      <c r="B284" s="35">
        <v>73.25</v>
      </c>
      <c r="C284" s="36">
        <v>-0.14165897860000001</v>
      </c>
      <c r="D284" s="36">
        <v>-3.7589940000000002E-2</v>
      </c>
      <c r="E284" s="36">
        <v>0.20466623540000001</v>
      </c>
    </row>
    <row r="285" spans="2:5" x14ac:dyDescent="0.25">
      <c r="B285" s="35">
        <v>73.5</v>
      </c>
      <c r="C285" s="36">
        <v>-0.14456152620000001</v>
      </c>
      <c r="D285" s="36">
        <v>-3.7918849999999997E-2</v>
      </c>
      <c r="E285" s="36">
        <v>0.20752635689999999</v>
      </c>
    </row>
    <row r="286" spans="2:5" x14ac:dyDescent="0.25">
      <c r="B286" s="35">
        <v>73.75</v>
      </c>
      <c r="C286" s="36">
        <v>-0.1474575115</v>
      </c>
      <c r="D286" s="36">
        <v>-3.8246210000000003E-2</v>
      </c>
      <c r="E286" s="36">
        <v>0.21037901619999999</v>
      </c>
    </row>
    <row r="287" spans="2:5" x14ac:dyDescent="0.25">
      <c r="B287" s="35">
        <v>74</v>
      </c>
      <c r="C287" s="36">
        <v>-0.150346853</v>
      </c>
      <c r="D287" s="36">
        <v>-3.8572009999999997E-2</v>
      </c>
      <c r="E287" s="36">
        <v>0.21322420580000001</v>
      </c>
    </row>
    <row r="288" spans="2:5" x14ac:dyDescent="0.25">
      <c r="B288" s="35">
        <v>74.25</v>
      </c>
      <c r="C288" s="36">
        <v>-0.1532294615</v>
      </c>
      <c r="D288" s="36">
        <v>-3.8896260000000002E-2</v>
      </c>
      <c r="E288" s="36">
        <v>0.21606193030000001</v>
      </c>
    </row>
    <row r="289" spans="2:5" x14ac:dyDescent="0.25">
      <c r="B289" s="35">
        <v>74.5</v>
      </c>
      <c r="C289" s="36">
        <v>-0.15610525559999999</v>
      </c>
      <c r="D289" s="36">
        <v>-3.9218969999999999E-2</v>
      </c>
      <c r="E289" s="36">
        <v>0.21889219809999999</v>
      </c>
    </row>
    <row r="290" spans="2:5" x14ac:dyDescent="0.25">
      <c r="B290" s="35">
        <v>74.75</v>
      </c>
      <c r="C290" s="36">
        <v>-0.15897416750000001</v>
      </c>
      <c r="D290" s="36">
        <v>-3.9540140000000001E-2</v>
      </c>
      <c r="E290" s="36">
        <v>0.22171502840000001</v>
      </c>
    </row>
    <row r="291" spans="2:5" x14ac:dyDescent="0.25">
      <c r="B291" s="35">
        <v>75</v>
      </c>
      <c r="C291" s="36">
        <v>-0.16183616149999999</v>
      </c>
      <c r="D291" s="36">
        <v>-3.9859779999999997E-2</v>
      </c>
      <c r="E291" s="36">
        <v>0.22453045699999999</v>
      </c>
    </row>
    <row r="292" spans="2:5" x14ac:dyDescent="0.25">
      <c r="B292" s="35">
        <v>75.25</v>
      </c>
      <c r="C292" s="36">
        <v>-0.1646912113</v>
      </c>
      <c r="D292" s="36">
        <v>-4.0177879999999999E-2</v>
      </c>
      <c r="E292" s="36">
        <v>0.2273385154</v>
      </c>
    </row>
    <row r="293" spans="2:5" x14ac:dyDescent="0.25">
      <c r="B293" s="35">
        <v>75.5</v>
      </c>
      <c r="C293" s="36">
        <v>-0.1675392882</v>
      </c>
      <c r="D293" s="36">
        <v>-4.0494460000000003E-2</v>
      </c>
      <c r="E293" s="36">
        <v>0.230139232</v>
      </c>
    </row>
    <row r="294" spans="2:5" x14ac:dyDescent="0.25">
      <c r="B294" s="35">
        <v>75.75</v>
      </c>
      <c r="C294" s="36">
        <v>-0.1703803629</v>
      </c>
      <c r="D294" s="36">
        <v>-4.0809499999999999E-2</v>
      </c>
      <c r="E294" s="36">
        <v>0.2329326307</v>
      </c>
    </row>
    <row r="295" spans="2:5" x14ac:dyDescent="0.25">
      <c r="B295" s="35">
        <v>76</v>
      </c>
      <c r="C295" s="36">
        <v>-0.1732144072</v>
      </c>
      <c r="D295" s="36">
        <v>-4.1122989999999998E-2</v>
      </c>
      <c r="E295" s="36">
        <v>0.23571872890000001</v>
      </c>
    </row>
    <row r="296" spans="2:5" x14ac:dyDescent="0.25">
      <c r="B296" s="35">
        <v>76.25</v>
      </c>
      <c r="C296" s="36">
        <v>-0.17604139499999999</v>
      </c>
      <c r="D296" s="36">
        <v>-4.1434930000000002E-2</v>
      </c>
      <c r="E296" s="36">
        <v>0.23849752930000001</v>
      </c>
    </row>
    <row r="297" spans="2:5" x14ac:dyDescent="0.25">
      <c r="B297" s="35">
        <v>76.5</v>
      </c>
      <c r="C297" s="36">
        <v>-0.17886129880000001</v>
      </c>
      <c r="D297" s="36">
        <v>-4.1745339999999999E-2</v>
      </c>
      <c r="E297" s="36">
        <v>0.24126900000000001</v>
      </c>
    </row>
    <row r="298" spans="2:5" x14ac:dyDescent="0.25">
      <c r="B298" s="35">
        <v>76.75</v>
      </c>
      <c r="C298" s="36">
        <v>-0.18167408760000001</v>
      </c>
      <c r="D298" s="36">
        <v>-4.2054220000000003E-2</v>
      </c>
      <c r="E298" s="36">
        <v>0.24403310149999999</v>
      </c>
    </row>
    <row r="299" spans="2:5" x14ac:dyDescent="0.25">
      <c r="B299" s="35">
        <v>77</v>
      </c>
      <c r="C299" s="36">
        <v>-0.1844797205</v>
      </c>
      <c r="D299" s="36">
        <v>-4.2361589999999998E-2</v>
      </c>
      <c r="E299" s="36">
        <v>0.24678980659999999</v>
      </c>
    </row>
    <row r="300" spans="2:5" x14ac:dyDescent="0.25">
      <c r="B300" s="35">
        <v>77.25</v>
      </c>
      <c r="C300" s="36">
        <v>-0.1872781506</v>
      </c>
      <c r="D300" s="36">
        <v>-4.2667480000000001E-2</v>
      </c>
      <c r="E300" s="36">
        <v>0.2495390955</v>
      </c>
    </row>
    <row r="301" spans="2:5" x14ac:dyDescent="0.25">
      <c r="B301" s="35">
        <v>77.5</v>
      </c>
      <c r="C301" s="36">
        <v>-0.19006931790000001</v>
      </c>
      <c r="D301" s="36">
        <v>-4.29719E-2</v>
      </c>
      <c r="E301" s="36">
        <v>0.25228095119999999</v>
      </c>
    </row>
    <row r="302" spans="2:5" x14ac:dyDescent="0.25">
      <c r="B302" s="35">
        <v>77.75</v>
      </c>
      <c r="C302" s="36">
        <v>-0.19285315310000001</v>
      </c>
      <c r="D302" s="36">
        <v>-4.327487E-2</v>
      </c>
      <c r="E302" s="36">
        <v>0.25501536590000001</v>
      </c>
    </row>
    <row r="303" spans="2:5" x14ac:dyDescent="0.25">
      <c r="B303" s="35">
        <v>78</v>
      </c>
      <c r="C303" s="36">
        <v>-0.1956295867</v>
      </c>
      <c r="D303" s="36">
        <v>-4.3576410000000003E-2</v>
      </c>
      <c r="E303" s="36">
        <v>0.25774233429999999</v>
      </c>
    </row>
    <row r="304" spans="2:5" x14ac:dyDescent="0.25">
      <c r="B304" s="35">
        <v>78.25</v>
      </c>
      <c r="C304" s="36">
        <v>-0.19839855610000001</v>
      </c>
      <c r="D304" s="36">
        <v>-4.387655E-2</v>
      </c>
      <c r="E304" s="36">
        <v>0.26046185669999999</v>
      </c>
    </row>
    <row r="305" spans="2:5" x14ac:dyDescent="0.25">
      <c r="B305" s="35">
        <v>78.5</v>
      </c>
      <c r="C305" s="36">
        <v>-0.2011600107</v>
      </c>
      <c r="D305" s="36">
        <v>-4.4175289999999999E-2</v>
      </c>
      <c r="E305" s="36">
        <v>0.26317393500000003</v>
      </c>
    </row>
    <row r="306" spans="2:5" x14ac:dyDescent="0.25">
      <c r="B306" s="35">
        <v>78.75</v>
      </c>
      <c r="C306" s="36">
        <v>-0.20391392089999999</v>
      </c>
      <c r="D306" s="36">
        <v>-4.4472669999999999E-2</v>
      </c>
      <c r="E306" s="36">
        <v>0.26587857949999999</v>
      </c>
    </row>
    <row r="307" spans="2:5" x14ac:dyDescent="0.25">
      <c r="B307" s="35">
        <v>79</v>
      </c>
      <c r="C307" s="36">
        <v>-0.2066602833</v>
      </c>
      <c r="D307" s="36">
        <v>-4.4768679999999998E-2</v>
      </c>
      <c r="E307" s="36">
        <v>0.26857581800000002</v>
      </c>
    </row>
    <row r="308" spans="2:5" x14ac:dyDescent="0.25">
      <c r="B308" s="35">
        <v>79.25</v>
      </c>
      <c r="C308" s="36">
        <v>-0.20939909379999999</v>
      </c>
      <c r="D308" s="36">
        <v>-4.506334E-2</v>
      </c>
      <c r="E308" s="36">
        <v>0.27126567499999998</v>
      </c>
    </row>
    <row r="309" spans="2:5" x14ac:dyDescent="0.25">
      <c r="B309" s="35">
        <v>79.5</v>
      </c>
      <c r="C309" s="36">
        <v>-0.21213033780000001</v>
      </c>
      <c r="D309" s="36">
        <v>-4.5356680000000003E-2</v>
      </c>
      <c r="E309" s="36">
        <v>0.27394814820000002</v>
      </c>
    </row>
    <row r="310" spans="2:5" x14ac:dyDescent="0.25">
      <c r="B310" s="35">
        <v>79.75</v>
      </c>
      <c r="C310" s="36">
        <v>-0.2148539981</v>
      </c>
      <c r="D310" s="36">
        <v>-4.5648710000000002E-2</v>
      </c>
      <c r="E310" s="36">
        <v>0.27662322700000003</v>
      </c>
    </row>
    <row r="311" spans="2:5" x14ac:dyDescent="0.25">
      <c r="B311" s="35">
        <v>80</v>
      </c>
      <c r="C311" s="36">
        <v>-0.21757005839999999</v>
      </c>
      <c r="D311" s="36">
        <v>-4.593945E-2</v>
      </c>
      <c r="E311" s="36">
        <v>0.27929089839999999</v>
      </c>
    </row>
    <row r="312" spans="2:5" x14ac:dyDescent="0.25">
      <c r="B312" s="35">
        <v>80.25</v>
      </c>
      <c r="C312" s="36">
        <v>-0.2202785159</v>
      </c>
      <c r="D312" s="36">
        <v>-4.622892E-2</v>
      </c>
      <c r="E312" s="36">
        <v>0.28195115160000001</v>
      </c>
    </row>
    <row r="313" spans="2:5" x14ac:dyDescent="0.25">
      <c r="B313" s="35">
        <v>80.5</v>
      </c>
      <c r="C313" s="36">
        <v>-0.22297940320000001</v>
      </c>
      <c r="D313" s="36">
        <v>-4.6517160000000002E-2</v>
      </c>
      <c r="E313" s="36">
        <v>0.2846039991</v>
      </c>
    </row>
    <row r="314" spans="2:5" x14ac:dyDescent="0.25">
      <c r="B314" s="35">
        <v>80.75</v>
      </c>
      <c r="C314" s="36">
        <v>-0.22567275010000001</v>
      </c>
      <c r="D314" s="36">
        <v>-4.6804169999999999E-2</v>
      </c>
      <c r="E314" s="36">
        <v>0.28724947200000001</v>
      </c>
    </row>
    <row r="315" spans="2:5" x14ac:dyDescent="0.25">
      <c r="B315" s="35">
        <v>81</v>
      </c>
      <c r="C315" s="36">
        <v>-0.22835859480000001</v>
      </c>
      <c r="D315" s="36">
        <v>-4.7089979999999997E-2</v>
      </c>
      <c r="E315" s="36">
        <v>0.2898876091</v>
      </c>
    </row>
    <row r="316" spans="2:5" x14ac:dyDescent="0.25">
      <c r="B316" s="35">
        <v>81.25</v>
      </c>
      <c r="C316" s="36">
        <v>-0.23103697740000001</v>
      </c>
      <c r="D316" s="36">
        <v>-4.7374600000000003E-2</v>
      </c>
      <c r="E316" s="36">
        <v>0.29251844570000002</v>
      </c>
    </row>
    <row r="317" spans="2:5" x14ac:dyDescent="0.25">
      <c r="B317" s="35">
        <v>81.5</v>
      </c>
      <c r="C317" s="36">
        <v>-0.2337079299</v>
      </c>
      <c r="D317" s="36">
        <v>-4.765805E-2</v>
      </c>
      <c r="E317" s="36">
        <v>0.2951420172</v>
      </c>
    </row>
    <row r="318" spans="2:5" x14ac:dyDescent="0.25">
      <c r="B318" s="35">
        <v>81.75</v>
      </c>
      <c r="C318" s="36">
        <v>-0.23637148129999999</v>
      </c>
      <c r="D318" s="36">
        <v>-4.794035E-2</v>
      </c>
      <c r="E318" s="36">
        <v>0.2977583593</v>
      </c>
    </row>
    <row r="319" spans="2:5" x14ac:dyDescent="0.25">
      <c r="B319" s="35">
        <v>82</v>
      </c>
      <c r="C319" s="36">
        <v>-0.23902765940000001</v>
      </c>
      <c r="D319" s="36">
        <v>-4.8221519999999997E-2</v>
      </c>
      <c r="E319" s="36">
        <v>0.30036750890000002</v>
      </c>
    </row>
    <row r="320" spans="2:5" x14ac:dyDescent="0.25">
      <c r="B320" s="35">
        <v>82.25</v>
      </c>
      <c r="C320" s="36">
        <v>-0.24167648189999999</v>
      </c>
      <c r="D320" s="36">
        <v>-4.8501559999999999E-2</v>
      </c>
      <c r="E320" s="36">
        <v>0.30296950630000002</v>
      </c>
    </row>
    <row r="321" spans="2:5" x14ac:dyDescent="0.25">
      <c r="B321" s="35">
        <v>82.5</v>
      </c>
      <c r="C321" s="36">
        <v>-0.24431795740000001</v>
      </c>
      <c r="D321" s="36">
        <v>-4.8780490000000003E-2</v>
      </c>
      <c r="E321" s="36">
        <v>0.30556437330000003</v>
      </c>
    </row>
    <row r="322" spans="2:5" x14ac:dyDescent="0.25">
      <c r="B322" s="35">
        <v>82.75</v>
      </c>
      <c r="C322" s="36">
        <v>-0.24695209269999999</v>
      </c>
      <c r="D322" s="36">
        <v>-4.9058320000000002E-2</v>
      </c>
      <c r="E322" s="36">
        <v>0.30815212530000002</v>
      </c>
    </row>
    <row r="323" spans="2:5" x14ac:dyDescent="0.25">
      <c r="B323" s="35">
        <v>83</v>
      </c>
      <c r="C323" s="36">
        <v>-0.24957889489999999</v>
      </c>
      <c r="D323" s="36">
        <v>-4.9335070000000002E-2</v>
      </c>
      <c r="E323" s="36">
        <v>0.31073277760000001</v>
      </c>
    </row>
    <row r="324" spans="2:5" x14ac:dyDescent="0.25">
      <c r="B324" s="35">
        <v>83.25</v>
      </c>
      <c r="C324" s="36">
        <v>-0.2521983719</v>
      </c>
      <c r="D324" s="36">
        <v>-4.961074E-2</v>
      </c>
      <c r="E324" s="36">
        <v>0.31330634369999999</v>
      </c>
    </row>
    <row r="325" spans="2:5" x14ac:dyDescent="0.25">
      <c r="B325" s="35">
        <v>83.5</v>
      </c>
      <c r="C325" s="36">
        <v>-0.2548105323</v>
      </c>
      <c r="D325" s="36">
        <v>-4.9885350000000002E-2</v>
      </c>
      <c r="E325" s="36">
        <v>0.31587282880000001</v>
      </c>
    </row>
    <row r="326" spans="2:5" x14ac:dyDescent="0.25">
      <c r="B326" s="35">
        <v>83.75</v>
      </c>
      <c r="C326" s="36">
        <v>-0.25741538539999997</v>
      </c>
      <c r="D326" s="36">
        <v>-5.0158910000000001E-2</v>
      </c>
      <c r="E326" s="36">
        <v>0.31843223500000001</v>
      </c>
    </row>
    <row r="327" spans="2:5" x14ac:dyDescent="0.25">
      <c r="B327" s="35">
        <v>84</v>
      </c>
      <c r="C327" s="36">
        <v>-0.26001294159999999</v>
      </c>
      <c r="D327" s="36">
        <v>-5.0431440000000001E-2</v>
      </c>
      <c r="E327" s="36">
        <v>0.32098456349999999</v>
      </c>
    </row>
    <row r="328" spans="2:5" x14ac:dyDescent="0.25">
      <c r="B328" s="35">
        <v>84.25</v>
      </c>
      <c r="C328" s="36">
        <v>-0.26260321060000003</v>
      </c>
      <c r="D328" s="36">
        <v>-5.0702940000000002E-2</v>
      </c>
      <c r="E328" s="36">
        <v>0.32352981330000002</v>
      </c>
    </row>
    <row r="329" spans="2:5" x14ac:dyDescent="0.25">
      <c r="B329" s="35">
        <v>84.5</v>
      </c>
      <c r="C329" s="36">
        <v>-0.2651861955</v>
      </c>
      <c r="D329" s="36">
        <v>-5.0973440000000002E-2</v>
      </c>
      <c r="E329" s="36">
        <v>0.3260679756</v>
      </c>
    </row>
    <row r="330" spans="2:5" x14ac:dyDescent="0.25">
      <c r="B330" s="35">
        <v>84.75</v>
      </c>
      <c r="C330" s="36">
        <v>-0.26776189680000001</v>
      </c>
      <c r="D330" s="36">
        <v>-5.1242940000000001E-2</v>
      </c>
      <c r="E330" s="36">
        <v>0.32859904299999998</v>
      </c>
    </row>
    <row r="331" spans="2:5" x14ac:dyDescent="0.25">
      <c r="B331" s="35">
        <v>85</v>
      </c>
      <c r="C331" s="36">
        <v>-0.27033031439999999</v>
      </c>
      <c r="D331" s="36">
        <v>-5.1511479999999998E-2</v>
      </c>
      <c r="E331" s="36">
        <v>0.33112300979999998</v>
      </c>
    </row>
    <row r="332" spans="2:5" x14ac:dyDescent="0.25">
      <c r="B332" s="35">
        <v>85.25</v>
      </c>
      <c r="C332" s="36">
        <v>-0.27289145209999999</v>
      </c>
      <c r="D332" s="36">
        <v>-5.1779060000000002E-2</v>
      </c>
      <c r="E332" s="36">
        <v>0.33363987449999999</v>
      </c>
    </row>
    <row r="333" spans="2:5" x14ac:dyDescent="0.25">
      <c r="B333" s="35">
        <v>85.5</v>
      </c>
      <c r="C333" s="36">
        <v>-0.27544532570000002</v>
      </c>
      <c r="D333" s="36">
        <v>-5.20457E-2</v>
      </c>
      <c r="E333" s="36">
        <v>0.3361496517</v>
      </c>
    </row>
    <row r="334" spans="2:5" x14ac:dyDescent="0.25">
      <c r="B334" s="35">
        <v>85.75</v>
      </c>
      <c r="C334" s="36">
        <v>-0.27799195370000002</v>
      </c>
      <c r="D334" s="36">
        <v>-5.2311410000000003E-2</v>
      </c>
      <c r="E334" s="36">
        <v>0.33865235989999998</v>
      </c>
    </row>
    <row r="335" spans="2:5" x14ac:dyDescent="0.25">
      <c r="B335" s="35">
        <v>86</v>
      </c>
      <c r="C335" s="36">
        <v>-0.28053135559999998</v>
      </c>
      <c r="D335" s="36">
        <v>-5.257622E-2</v>
      </c>
      <c r="E335" s="36">
        <v>0.34114801690000002</v>
      </c>
    </row>
    <row r="336" spans="2:5" x14ac:dyDescent="0.25">
      <c r="B336" s="35">
        <v>86.25</v>
      </c>
      <c r="C336" s="36">
        <v>-0.28306355230000002</v>
      </c>
      <c r="D336" s="36">
        <v>-5.2840129999999999E-2</v>
      </c>
      <c r="E336" s="36">
        <v>0.34363663849999998</v>
      </c>
    </row>
    <row r="337" spans="2:5" x14ac:dyDescent="0.25">
      <c r="B337" s="35">
        <v>86.5</v>
      </c>
      <c r="C337" s="36">
        <v>-0.28558856669999999</v>
      </c>
      <c r="D337" s="36">
        <v>-5.3103160000000003E-2</v>
      </c>
      <c r="E337" s="36">
        <v>0.34611823409999998</v>
      </c>
    </row>
    <row r="338" spans="2:5" x14ac:dyDescent="0.25">
      <c r="B338" s="35">
        <v>86.75</v>
      </c>
      <c r="C338" s="36">
        <v>-0.288106423</v>
      </c>
      <c r="D338" s="36">
        <v>-5.3365330000000002E-2</v>
      </c>
      <c r="E338" s="36">
        <v>0.34859281110000001</v>
      </c>
    </row>
    <row r="339" spans="2:5" x14ac:dyDescent="0.25">
      <c r="B339" s="35">
        <v>87</v>
      </c>
      <c r="C339" s="36">
        <v>-0.29061714550000001</v>
      </c>
      <c r="D339" s="36">
        <v>-5.3626640000000003E-2</v>
      </c>
      <c r="E339" s="36">
        <v>0.3510603766</v>
      </c>
    </row>
    <row r="340" spans="2:5" x14ac:dyDescent="0.25">
      <c r="B340" s="35">
        <v>87.25</v>
      </c>
      <c r="C340" s="36">
        <v>-0.29312075949999999</v>
      </c>
      <c r="D340" s="36">
        <v>-5.3887129999999998E-2</v>
      </c>
      <c r="E340" s="36">
        <v>0.35352094280000002</v>
      </c>
    </row>
    <row r="341" spans="2:5" x14ac:dyDescent="0.25">
      <c r="B341" s="35">
        <v>87.5</v>
      </c>
      <c r="C341" s="36">
        <v>-0.29561729510000001</v>
      </c>
      <c r="D341" s="36">
        <v>-5.414679E-2</v>
      </c>
      <c r="E341" s="36">
        <v>0.3559745426</v>
      </c>
    </row>
    <row r="342" spans="2:5" x14ac:dyDescent="0.25">
      <c r="B342" s="35">
        <v>87.75</v>
      </c>
      <c r="C342" s="36">
        <v>-0.29810678350000003</v>
      </c>
      <c r="D342" s="36">
        <v>-5.4405630000000003E-2</v>
      </c>
      <c r="E342" s="36">
        <v>0.3584212135</v>
      </c>
    </row>
    <row r="343" spans="2:5" x14ac:dyDescent="0.25">
      <c r="B343" s="35">
        <v>88</v>
      </c>
      <c r="C343" s="36">
        <v>-0.30058925539999998</v>
      </c>
      <c r="D343" s="36">
        <v>-5.4663690000000001E-2</v>
      </c>
      <c r="E343" s="36">
        <v>0.36086099269999999</v>
      </c>
    </row>
    <row r="344" spans="2:5" x14ac:dyDescent="0.25">
      <c r="B344" s="35">
        <v>88.25</v>
      </c>
      <c r="C344" s="36">
        <v>-0.30306474210000001</v>
      </c>
      <c r="D344" s="36">
        <v>-5.4920950000000003E-2</v>
      </c>
      <c r="E344" s="36">
        <v>0.36329391750000001</v>
      </c>
    </row>
    <row r="345" spans="2:5" x14ac:dyDescent="0.25">
      <c r="B345" s="35">
        <v>88.5</v>
      </c>
      <c r="C345" s="36">
        <v>-0.30553327650000001</v>
      </c>
      <c r="D345" s="36">
        <v>-5.517743E-2</v>
      </c>
      <c r="E345" s="36">
        <v>0.36572002599999998</v>
      </c>
    </row>
    <row r="346" spans="2:5" x14ac:dyDescent="0.25">
      <c r="B346" s="35">
        <v>88.75</v>
      </c>
      <c r="C346" s="36">
        <v>-0.30799489190000001</v>
      </c>
      <c r="D346" s="36">
        <v>-5.543315E-2</v>
      </c>
      <c r="E346" s="36">
        <v>0.36813935609999998</v>
      </c>
    </row>
    <row r="347" spans="2:5" x14ac:dyDescent="0.25">
      <c r="B347" s="35">
        <v>89</v>
      </c>
      <c r="C347" s="36">
        <v>-0.31044962129999998</v>
      </c>
      <c r="D347" s="36">
        <v>-5.5688109999999999E-2</v>
      </c>
      <c r="E347" s="36">
        <v>0.37055194559999999</v>
      </c>
    </row>
    <row r="348" spans="2:5" x14ac:dyDescent="0.25">
      <c r="B348" s="35">
        <v>89.25</v>
      </c>
      <c r="C348" s="36">
        <v>-0.31289749770000003</v>
      </c>
      <c r="D348" s="36">
        <v>-5.5942310000000002E-2</v>
      </c>
      <c r="E348" s="36">
        <v>0.37295783170000002</v>
      </c>
    </row>
    <row r="349" spans="2:5" x14ac:dyDescent="0.25">
      <c r="B349" s="35">
        <v>89.5</v>
      </c>
      <c r="C349" s="36">
        <v>-0.31533855509999997</v>
      </c>
      <c r="D349" s="36">
        <v>-5.6195769999999999E-2</v>
      </c>
      <c r="E349" s="36">
        <v>0.37535705159999999</v>
      </c>
    </row>
    <row r="350" spans="2:5" x14ac:dyDescent="0.25">
      <c r="B350" s="35">
        <v>89.75</v>
      </c>
      <c r="C350" s="36">
        <v>-0.31777282779999999</v>
      </c>
      <c r="D350" s="36">
        <v>-5.6448489999999997E-2</v>
      </c>
      <c r="E350" s="36">
        <v>0.37774964090000002</v>
      </c>
    </row>
    <row r="351" spans="2:5" x14ac:dyDescent="0.25">
      <c r="B351" s="35">
        <v>90</v>
      </c>
      <c r="C351" s="36">
        <v>-0.32020035019999998</v>
      </c>
      <c r="D351" s="36">
        <v>-5.6700479999999998E-2</v>
      </c>
      <c r="E351" s="36">
        <v>0.38013563459999999</v>
      </c>
    </row>
    <row r="352" spans="2:5" x14ac:dyDescent="0.25">
      <c r="B352" s="35">
        <v>90.25</v>
      </c>
      <c r="C352" s="36">
        <v>-0.32262115670000002</v>
      </c>
      <c r="D352" s="36">
        <v>-5.6951729999999999E-2</v>
      </c>
      <c r="E352" s="36">
        <v>0.38251506670000002</v>
      </c>
    </row>
    <row r="353" spans="2:5" x14ac:dyDescent="0.25">
      <c r="B353" s="35">
        <v>90.5</v>
      </c>
      <c r="C353" s="36">
        <v>-0.32503528139999999</v>
      </c>
      <c r="D353" s="36">
        <v>-5.7202259999999998E-2</v>
      </c>
      <c r="E353" s="36">
        <v>0.38488796850000001</v>
      </c>
    </row>
    <row r="354" spans="2:5" x14ac:dyDescent="0.25">
      <c r="B354" s="35">
        <v>90.75</v>
      </c>
      <c r="C354" s="36">
        <v>-0.3274427587</v>
      </c>
      <c r="D354" s="36">
        <v>-5.7452070000000001E-2</v>
      </c>
      <c r="E354" s="36">
        <v>0.38725437080000003</v>
      </c>
    </row>
    <row r="355" spans="2:5" x14ac:dyDescent="0.25">
      <c r="B355" s="35">
        <v>91</v>
      </c>
      <c r="C355" s="36">
        <v>-0.32984362239999998</v>
      </c>
      <c r="D355" s="36">
        <v>-5.7701170000000003E-2</v>
      </c>
      <c r="E355" s="36">
        <v>0.38961430400000002</v>
      </c>
    </row>
    <row r="356" spans="2:5" x14ac:dyDescent="0.25">
      <c r="B356" s="35">
        <v>91.25</v>
      </c>
      <c r="C356" s="36">
        <v>-0.3322379063</v>
      </c>
      <c r="D356" s="36">
        <v>-5.7949569999999999E-2</v>
      </c>
      <c r="E356" s="36">
        <v>0.3919677983</v>
      </c>
    </row>
    <row r="357" spans="2:5" x14ac:dyDescent="0.25">
      <c r="B357" s="35">
        <v>91.5</v>
      </c>
      <c r="C357" s="36">
        <v>-0.334625644</v>
      </c>
      <c r="D357" s="36">
        <v>-5.8197260000000001E-2</v>
      </c>
      <c r="E357" s="36">
        <v>0.39431488399999998</v>
      </c>
    </row>
    <row r="358" spans="2:5" x14ac:dyDescent="0.25">
      <c r="B358" s="35">
        <v>91.75</v>
      </c>
      <c r="C358" s="36">
        <v>-0.33700686899999999</v>
      </c>
      <c r="D358" s="36">
        <v>-5.8444259999999998E-2</v>
      </c>
      <c r="E358" s="36">
        <v>0.39665559109999998</v>
      </c>
    </row>
    <row r="359" spans="2:5" x14ac:dyDescent="0.25">
      <c r="B359" s="35">
        <v>92</v>
      </c>
      <c r="C359" s="36">
        <v>-0.3393816147</v>
      </c>
      <c r="D359" s="36">
        <v>-5.8690579999999999E-2</v>
      </c>
      <c r="E359" s="36">
        <v>0.3989899496</v>
      </c>
    </row>
    <row r="360" spans="2:5" x14ac:dyDescent="0.25">
      <c r="B360" s="35">
        <v>92.25</v>
      </c>
      <c r="C360" s="36">
        <v>-0.34174991430000001</v>
      </c>
      <c r="D360" s="36">
        <v>-5.8936210000000003E-2</v>
      </c>
      <c r="E360" s="36">
        <v>0.40131798969999999</v>
      </c>
    </row>
    <row r="361" spans="2:5" x14ac:dyDescent="0.25">
      <c r="B361" s="35">
        <v>92.5</v>
      </c>
      <c r="C361" s="36">
        <v>-0.34411180270000002</v>
      </c>
      <c r="D361" s="36">
        <v>-5.9181169999999998E-2</v>
      </c>
      <c r="E361" s="36">
        <v>0.40363974359999999</v>
      </c>
    </row>
    <row r="362" spans="2:5" x14ac:dyDescent="0.25">
      <c r="B362" s="35">
        <v>92.75</v>
      </c>
      <c r="C362" s="36">
        <v>-0.34646731450000001</v>
      </c>
      <c r="D362" s="36">
        <v>-5.9425459999999999E-2</v>
      </c>
      <c r="E362" s="36">
        <v>0.40595524389999998</v>
      </c>
    </row>
    <row r="363" spans="2:5" x14ac:dyDescent="0.25">
      <c r="B363" s="35">
        <v>93</v>
      </c>
      <c r="C363" s="36">
        <v>-0.34881648430000001</v>
      </c>
      <c r="D363" s="36">
        <v>-5.9669079999999999E-2</v>
      </c>
      <c r="E363" s="36">
        <v>0.40826452299999999</v>
      </c>
    </row>
    <row r="364" spans="2:5" x14ac:dyDescent="0.25">
      <c r="B364" s="35">
        <v>93.25</v>
      </c>
      <c r="C364" s="36">
        <v>-0.35115934630000001</v>
      </c>
      <c r="D364" s="36">
        <v>-5.991204E-2</v>
      </c>
      <c r="E364" s="36">
        <v>0.41056761279999998</v>
      </c>
    </row>
    <row r="365" spans="2:5" x14ac:dyDescent="0.25">
      <c r="B365" s="35">
        <v>93.5</v>
      </c>
      <c r="C365" s="36">
        <v>-0.35349593439999999</v>
      </c>
      <c r="D365" s="36">
        <v>-6.0154350000000002E-2</v>
      </c>
      <c r="E365" s="36">
        <v>0.4128645453</v>
      </c>
    </row>
    <row r="366" spans="2:5" x14ac:dyDescent="0.25">
      <c r="B366" s="35">
        <v>93.75</v>
      </c>
      <c r="C366" s="36">
        <v>-0.35582628240000003</v>
      </c>
      <c r="D366" s="36">
        <v>-6.0395999999999998E-2</v>
      </c>
      <c r="E366" s="36">
        <v>0.41515535199999998</v>
      </c>
    </row>
    <row r="367" spans="2:5" x14ac:dyDescent="0.25">
      <c r="B367" s="35">
        <v>94</v>
      </c>
      <c r="C367" s="36">
        <v>-0.35815042349999998</v>
      </c>
      <c r="D367" s="36">
        <v>-6.0637000000000003E-2</v>
      </c>
      <c r="E367" s="36">
        <v>0.41744006430000002</v>
      </c>
    </row>
    <row r="368" spans="2:5" x14ac:dyDescent="0.25">
      <c r="B368" s="35">
        <v>94.25</v>
      </c>
      <c r="C368" s="36">
        <v>-0.360468391</v>
      </c>
      <c r="D368" s="36">
        <v>-6.0877359999999998E-2</v>
      </c>
      <c r="E368" s="36">
        <v>0.41971871329999999</v>
      </c>
    </row>
    <row r="369" spans="2:5" x14ac:dyDescent="0.25">
      <c r="B369" s="35">
        <v>94.5</v>
      </c>
      <c r="C369" s="36">
        <v>-0.36278021770000002</v>
      </c>
      <c r="D369" s="36">
        <v>-6.1117089999999999E-2</v>
      </c>
      <c r="E369" s="36">
        <v>0.42199132979999998</v>
      </c>
    </row>
    <row r="370" spans="2:5" x14ac:dyDescent="0.25">
      <c r="B370" s="35">
        <v>94.75</v>
      </c>
      <c r="C370" s="36">
        <v>-0.36508593620000002</v>
      </c>
      <c r="D370" s="36">
        <v>-6.1356170000000002E-2</v>
      </c>
      <c r="E370" s="36">
        <v>0.42425794439999998</v>
      </c>
    </row>
    <row r="371" spans="2:5" x14ac:dyDescent="0.25">
      <c r="B371" s="35">
        <v>95</v>
      </c>
      <c r="C371" s="36">
        <v>-0.36738557890000001</v>
      </c>
      <c r="D371" s="36">
        <v>-6.1594629999999997E-2</v>
      </c>
      <c r="E371" s="36">
        <v>0.4265185876</v>
      </c>
    </row>
  </sheetData>
  <mergeCells count="11">
    <mergeCell ref="U3:V3"/>
    <mergeCell ref="X3:Y3"/>
    <mergeCell ref="B1:E1"/>
    <mergeCell ref="G1:O1"/>
    <mergeCell ref="Q1:Y1"/>
    <mergeCell ref="H2:O2"/>
    <mergeCell ref="R2:Y2"/>
    <mergeCell ref="H3:I3"/>
    <mergeCell ref="K3:L3"/>
    <mergeCell ref="N3:O3"/>
    <mergeCell ref="R3:S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B42A-A17D-4647-8EB0-F75D35B60F8C}">
  <dimension ref="B1:AN371"/>
  <sheetViews>
    <sheetView zoomScaleNormal="100" workbookViewId="0">
      <selection activeCell="S17" sqref="S17"/>
    </sheetView>
  </sheetViews>
  <sheetFormatPr defaultColWidth="9.109375" defaultRowHeight="12" x14ac:dyDescent="0.25"/>
  <cols>
    <col min="1" max="2" width="9.109375" style="1"/>
    <col min="3" max="3" width="9.109375" style="89"/>
    <col min="4" max="4" width="9.109375" style="89" customWidth="1"/>
    <col min="5" max="5" width="8" style="1" customWidth="1"/>
    <col min="6" max="6" width="12" style="1" customWidth="1"/>
    <col min="7" max="7" width="10.88671875" style="1" customWidth="1"/>
    <col min="8" max="8" width="10.109375" style="1" customWidth="1"/>
    <col min="9" max="9" width="9.109375" style="89"/>
    <col min="10" max="11" width="9.109375" style="1"/>
    <col min="12" max="12" width="9.109375" style="89"/>
    <col min="13" max="14" width="9.109375" style="1"/>
    <col min="15" max="15" width="9.109375" style="89"/>
    <col min="16" max="18" width="9.109375" style="1"/>
    <col min="19" max="19" width="8.109375" style="1" customWidth="1"/>
    <col min="20" max="16384" width="9.109375" style="1"/>
  </cols>
  <sheetData>
    <row r="1" spans="2:40" ht="15.6" thickTop="1" thickBot="1" x14ac:dyDescent="0.35">
      <c r="B1" s="141" t="s">
        <v>159</v>
      </c>
      <c r="C1" s="142"/>
      <c r="D1" s="142"/>
      <c r="E1" s="143"/>
      <c r="G1" s="141" t="s">
        <v>160</v>
      </c>
      <c r="H1" s="142"/>
      <c r="I1" s="142"/>
      <c r="J1" s="142"/>
      <c r="K1" s="142"/>
      <c r="L1" s="142"/>
      <c r="M1" s="142"/>
      <c r="N1" s="142"/>
      <c r="O1" s="143"/>
      <c r="Q1" s="141" t="s">
        <v>158</v>
      </c>
      <c r="R1" s="142"/>
      <c r="S1" s="142"/>
      <c r="T1" s="142"/>
      <c r="U1" s="142"/>
      <c r="V1" s="142"/>
      <c r="W1" s="142"/>
      <c r="X1" s="142"/>
      <c r="Y1" s="143"/>
    </row>
    <row r="2" spans="2:40" ht="12.6" thickTop="1" x14ac:dyDescent="0.25">
      <c r="B2" s="17" t="s">
        <v>0</v>
      </c>
      <c r="C2" s="96" t="s">
        <v>33</v>
      </c>
      <c r="D2" s="96" t="s">
        <v>34</v>
      </c>
      <c r="E2" s="7" t="s">
        <v>35</v>
      </c>
      <c r="G2" s="70"/>
      <c r="H2" s="164" t="s">
        <v>47</v>
      </c>
      <c r="I2" s="165"/>
      <c r="J2" s="165"/>
      <c r="K2" s="165"/>
      <c r="L2" s="165"/>
      <c r="M2" s="165"/>
      <c r="N2" s="166"/>
      <c r="O2" s="167"/>
      <c r="Q2" s="70"/>
      <c r="R2" s="165" t="s">
        <v>47</v>
      </c>
      <c r="S2" s="165"/>
      <c r="T2" s="165"/>
      <c r="U2" s="165"/>
      <c r="V2" s="165"/>
      <c r="W2" s="165"/>
      <c r="X2" s="165"/>
      <c r="Y2" s="168"/>
    </row>
    <row r="3" spans="2:40" x14ac:dyDescent="0.25">
      <c r="B3" s="7">
        <v>3</v>
      </c>
      <c r="C3" s="96">
        <v>-0.35204639199999999</v>
      </c>
      <c r="D3" s="96">
        <v>0.55680909999999995</v>
      </c>
      <c r="E3" s="7">
        <v>0</v>
      </c>
      <c r="G3" s="42"/>
      <c r="H3" s="158" t="s">
        <v>41</v>
      </c>
      <c r="I3" s="169"/>
      <c r="K3" s="160" t="s">
        <v>42</v>
      </c>
      <c r="L3" s="169"/>
      <c r="N3" s="161" t="s">
        <v>43</v>
      </c>
      <c r="O3" s="170"/>
      <c r="Q3" s="48"/>
      <c r="R3" s="149" t="s">
        <v>33</v>
      </c>
      <c r="S3" s="163"/>
      <c r="U3" s="149" t="s">
        <v>34</v>
      </c>
      <c r="V3" s="163"/>
      <c r="X3" s="149" t="s">
        <v>35</v>
      </c>
      <c r="Y3" s="163"/>
    </row>
    <row r="4" spans="2:40" x14ac:dyDescent="0.25">
      <c r="B4" s="7">
        <v>3.25</v>
      </c>
      <c r="C4" s="96">
        <v>-0.35293970400000002</v>
      </c>
      <c r="D4" s="96">
        <v>0.53181449999999997</v>
      </c>
      <c r="E4" s="7">
        <v>0</v>
      </c>
      <c r="G4" s="48" t="s">
        <v>1</v>
      </c>
      <c r="H4" s="49" t="s">
        <v>2</v>
      </c>
      <c r="I4" s="88">
        <v>-6.9189299999999996</v>
      </c>
      <c r="K4" s="51" t="s">
        <v>27</v>
      </c>
      <c r="L4" s="88">
        <v>-2.1034000000000002</v>
      </c>
      <c r="N4" s="51" t="s">
        <v>31</v>
      </c>
      <c r="O4" s="102">
        <v>0.49859999999999999</v>
      </c>
      <c r="Q4" s="48" t="s">
        <v>1</v>
      </c>
      <c r="R4" s="43" t="s">
        <v>8</v>
      </c>
      <c r="S4" s="50">
        <v>0.74421999999999999</v>
      </c>
      <c r="T4" s="45"/>
      <c r="U4" s="46" t="s">
        <v>14</v>
      </c>
      <c r="V4" s="50">
        <v>9.3783000000000005E-2</v>
      </c>
      <c r="W4" s="2"/>
      <c r="X4" s="43" t="s">
        <v>20</v>
      </c>
      <c r="Y4" s="55">
        <v>0</v>
      </c>
    </row>
    <row r="5" spans="2:40" x14ac:dyDescent="0.25">
      <c r="B5" s="7">
        <v>3.5</v>
      </c>
      <c r="C5" s="96">
        <v>-0.35362298199999997</v>
      </c>
      <c r="D5" s="96">
        <v>0.50839780000000001</v>
      </c>
      <c r="E5" s="7">
        <v>0</v>
      </c>
      <c r="G5" s="48" t="s">
        <v>49</v>
      </c>
      <c r="H5" s="49" t="s">
        <v>3</v>
      </c>
      <c r="I5" s="88">
        <v>1.689511</v>
      </c>
      <c r="K5" s="51"/>
      <c r="L5" s="88"/>
      <c r="N5" s="51"/>
      <c r="O5" s="110"/>
      <c r="Q5" s="48" t="s">
        <v>67</v>
      </c>
      <c r="R5" s="43" t="s">
        <v>9</v>
      </c>
      <c r="S5" s="50">
        <v>-5.6229399999999998</v>
      </c>
      <c r="T5" s="45"/>
      <c r="U5" s="46" t="s">
        <v>15</v>
      </c>
      <c r="V5" s="50">
        <v>-1.755431</v>
      </c>
      <c r="X5" s="43" t="s">
        <v>21</v>
      </c>
      <c r="Y5" s="55">
        <v>0</v>
      </c>
    </row>
    <row r="6" spans="2:40" ht="13.8" x14ac:dyDescent="0.25">
      <c r="B6" s="7">
        <v>3.75</v>
      </c>
      <c r="C6" s="96">
        <v>-0.35424421699999997</v>
      </c>
      <c r="D6" s="96">
        <v>0.48623670000000002</v>
      </c>
      <c r="E6" s="7">
        <v>0</v>
      </c>
      <c r="G6" s="48" t="s">
        <v>48</v>
      </c>
      <c r="H6" s="49" t="s">
        <v>4</v>
      </c>
      <c r="I6" s="88">
        <v>-0.14248</v>
      </c>
      <c r="K6" s="51" t="s">
        <v>28</v>
      </c>
      <c r="L6" s="88">
        <v>0.24629999999999999</v>
      </c>
      <c r="N6" s="51" t="s">
        <v>32</v>
      </c>
      <c r="O6" s="88">
        <v>0</v>
      </c>
      <c r="Q6" s="48" t="s">
        <v>125</v>
      </c>
      <c r="R6" s="43" t="s">
        <v>10</v>
      </c>
      <c r="S6" s="50">
        <v>23.390720000000002</v>
      </c>
      <c r="T6" s="45"/>
      <c r="U6" s="46" t="s">
        <v>16</v>
      </c>
      <c r="V6" s="50">
        <v>4.8571809999999997</v>
      </c>
      <c r="X6" s="43" t="s">
        <v>22</v>
      </c>
      <c r="Y6" s="55">
        <v>0</v>
      </c>
    </row>
    <row r="7" spans="2:40" ht="13.8" x14ac:dyDescent="0.25">
      <c r="B7" s="7">
        <v>4</v>
      </c>
      <c r="C7" s="96">
        <v>-0.355042996</v>
      </c>
      <c r="D7" s="96">
        <v>0.46504869999999998</v>
      </c>
      <c r="E7" s="7">
        <v>0</v>
      </c>
      <c r="G7" s="48" t="s">
        <v>50</v>
      </c>
      <c r="H7" s="49" t="s">
        <v>5</v>
      </c>
      <c r="I7" s="88">
        <v>-0.13838500000000001</v>
      </c>
      <c r="K7" s="51" t="s">
        <v>29</v>
      </c>
      <c r="L7" s="88">
        <v>0.16250000000000001</v>
      </c>
      <c r="N7" s="51" t="s">
        <v>26</v>
      </c>
      <c r="O7" s="103" t="s">
        <v>35</v>
      </c>
      <c r="Q7" s="48" t="s">
        <v>126</v>
      </c>
      <c r="R7" s="43" t="s">
        <v>11</v>
      </c>
      <c r="S7" s="50">
        <v>-46.739249999999998</v>
      </c>
      <c r="T7" s="45"/>
      <c r="U7" s="46" t="s">
        <v>17</v>
      </c>
      <c r="V7" s="50">
        <v>-3.8945609999999999</v>
      </c>
      <c r="X7" s="43" t="s">
        <v>23</v>
      </c>
      <c r="Y7" s="55">
        <v>0</v>
      </c>
    </row>
    <row r="8" spans="2:40" ht="13.8" x14ac:dyDescent="0.25">
      <c r="B8" s="7">
        <v>4.25</v>
      </c>
      <c r="C8" s="96">
        <v>-0.35620463299999999</v>
      </c>
      <c r="D8" s="96">
        <v>0.44461600000000001</v>
      </c>
      <c r="E8" s="7">
        <v>0</v>
      </c>
      <c r="G8" s="48" t="s">
        <v>51</v>
      </c>
      <c r="H8" s="49" t="s">
        <v>6</v>
      </c>
      <c r="I8" s="88">
        <v>-3.2739999999999998E-2</v>
      </c>
      <c r="K8" s="51" t="s">
        <v>30</v>
      </c>
      <c r="L8" s="88">
        <v>-0.14130000000000001</v>
      </c>
      <c r="N8" s="51"/>
      <c r="O8" s="88"/>
      <c r="Q8" s="48" t="s">
        <v>127</v>
      </c>
      <c r="R8" s="43" t="s">
        <v>12</v>
      </c>
      <c r="S8" s="50">
        <v>40.440219999999997</v>
      </c>
      <c r="T8" s="45"/>
      <c r="U8" s="46" t="s">
        <v>18</v>
      </c>
      <c r="V8" s="50">
        <v>1.0817730000000001</v>
      </c>
      <c r="X8" s="43" t="s">
        <v>24</v>
      </c>
      <c r="Y8" s="55">
        <v>0</v>
      </c>
    </row>
    <row r="9" spans="2:40" ht="13.8" x14ac:dyDescent="0.25">
      <c r="B9" s="7">
        <v>4.5</v>
      </c>
      <c r="C9" s="96">
        <v>-0.357780294</v>
      </c>
      <c r="D9" s="96">
        <v>0.4247708</v>
      </c>
      <c r="E9" s="7">
        <v>0</v>
      </c>
      <c r="G9" s="48" t="s">
        <v>52</v>
      </c>
      <c r="H9" s="49" t="s">
        <v>38</v>
      </c>
      <c r="I9" s="88">
        <v>-9.3880000000000005E-3</v>
      </c>
      <c r="K9" s="51" t="s">
        <v>44</v>
      </c>
      <c r="L9" s="88">
        <v>-0.10390000000000001</v>
      </c>
      <c r="N9" s="51"/>
      <c r="O9" s="88"/>
      <c r="Q9" s="48" t="s">
        <v>128</v>
      </c>
      <c r="R9" s="43" t="s">
        <v>13</v>
      </c>
      <c r="S9" s="50">
        <v>-12.72448</v>
      </c>
      <c r="T9" s="45"/>
      <c r="U9" s="46" t="s">
        <v>19</v>
      </c>
      <c r="V9" s="50">
        <v>-1.0937000000000001E-2</v>
      </c>
      <c r="X9" s="43" t="s">
        <v>25</v>
      </c>
      <c r="Y9" s="55">
        <v>0</v>
      </c>
    </row>
    <row r="10" spans="2:40" ht="13.8" x14ac:dyDescent="0.25">
      <c r="B10" s="7">
        <v>4.75</v>
      </c>
      <c r="C10" s="96">
        <v>-0.35964895899999999</v>
      </c>
      <c r="D10" s="96">
        <v>0.4053756</v>
      </c>
      <c r="E10" s="7">
        <v>0</v>
      </c>
      <c r="G10" s="132" t="s">
        <v>171</v>
      </c>
      <c r="H10" s="51" t="s">
        <v>169</v>
      </c>
      <c r="I10" s="88">
        <v>-5.3100000000000001E-2</v>
      </c>
      <c r="K10" s="51" t="s">
        <v>170</v>
      </c>
      <c r="L10" s="88">
        <v>5.7000000000000002E-3</v>
      </c>
      <c r="N10" s="51"/>
      <c r="O10" s="88"/>
      <c r="Q10" s="48" t="s">
        <v>129</v>
      </c>
      <c r="R10" s="43"/>
      <c r="S10" s="53"/>
      <c r="U10" s="43"/>
      <c r="V10" s="54"/>
      <c r="X10" s="43" t="s">
        <v>39</v>
      </c>
      <c r="Y10" s="55">
        <v>0</v>
      </c>
      <c r="AH10" s="1" t="s">
        <v>83</v>
      </c>
      <c r="AN10" s="1" t="s">
        <v>83</v>
      </c>
    </row>
    <row r="11" spans="2:40" ht="13.8" x14ac:dyDescent="0.25">
      <c r="B11" s="7">
        <v>5</v>
      </c>
      <c r="C11" s="96">
        <v>-0.361698346</v>
      </c>
      <c r="D11" s="96">
        <v>0.38632480000000002</v>
      </c>
      <c r="E11" s="7">
        <v>0</v>
      </c>
      <c r="G11" s="56"/>
      <c r="H11" s="57"/>
      <c r="I11" s="95" t="s">
        <v>33</v>
      </c>
      <c r="K11" s="59"/>
      <c r="L11" s="95" t="s">
        <v>34</v>
      </c>
      <c r="N11" s="59"/>
      <c r="O11" s="104"/>
      <c r="Q11" s="64" t="s">
        <v>133</v>
      </c>
      <c r="R11" s="61"/>
      <c r="S11" s="62"/>
      <c r="U11" s="61"/>
      <c r="V11" s="62"/>
      <c r="X11" s="61" t="s">
        <v>40</v>
      </c>
      <c r="Y11" s="63">
        <v>0</v>
      </c>
      <c r="AH11" s="1" t="s">
        <v>84</v>
      </c>
      <c r="AN11" s="1" t="s">
        <v>84</v>
      </c>
    </row>
    <row r="12" spans="2:40" x14ac:dyDescent="0.25">
      <c r="B12" s="7">
        <v>5.25</v>
      </c>
      <c r="C12" s="96">
        <v>-0.36381531</v>
      </c>
      <c r="D12" s="96">
        <v>0.36754179999999997</v>
      </c>
      <c r="E12" s="7">
        <v>0</v>
      </c>
      <c r="AH12" s="1" t="s">
        <v>85</v>
      </c>
      <c r="AN12" s="1" t="s">
        <v>85</v>
      </c>
    </row>
    <row r="13" spans="2:40" x14ac:dyDescent="0.25">
      <c r="B13" s="7">
        <v>5.5</v>
      </c>
      <c r="C13" s="96">
        <v>-0.36568508100000002</v>
      </c>
      <c r="D13" s="96">
        <v>0.348995</v>
      </c>
      <c r="E13" s="7">
        <v>0</v>
      </c>
      <c r="G13" s="2" t="s">
        <v>167</v>
      </c>
      <c r="H13" s="7"/>
      <c r="K13" s="7"/>
      <c r="L13" s="96"/>
      <c r="AH13" s="1" t="s">
        <v>86</v>
      </c>
      <c r="AN13" s="1" t="s">
        <v>87</v>
      </c>
    </row>
    <row r="14" spans="2:40" x14ac:dyDescent="0.25">
      <c r="B14" s="7">
        <v>5.75</v>
      </c>
      <c r="C14" s="96">
        <v>-0.366963066</v>
      </c>
      <c r="D14" s="96">
        <v>0.33067269999999999</v>
      </c>
      <c r="E14" s="7">
        <v>0</v>
      </c>
      <c r="G14" s="1" t="s">
        <v>74</v>
      </c>
      <c r="K14" s="7"/>
      <c r="L14" s="96"/>
      <c r="AH14" s="1" t="s">
        <v>88</v>
      </c>
      <c r="AN14" s="1" t="s">
        <v>88</v>
      </c>
    </row>
    <row r="15" spans="2:40" x14ac:dyDescent="0.25">
      <c r="B15" s="7">
        <v>6</v>
      </c>
      <c r="C15" s="96">
        <v>-0.367393576</v>
      </c>
      <c r="D15" s="96">
        <v>0.31256460000000003</v>
      </c>
      <c r="E15" s="7">
        <v>0</v>
      </c>
      <c r="G15" s="1" t="s">
        <v>73</v>
      </c>
      <c r="K15" s="7"/>
      <c r="L15" s="96"/>
      <c r="O15" s="85"/>
      <c r="P15" s="35"/>
      <c r="Q15" s="35"/>
      <c r="R15" s="35"/>
      <c r="S15" s="35"/>
      <c r="AH15" s="1" t="s">
        <v>56</v>
      </c>
      <c r="AN15" s="1" t="s">
        <v>57</v>
      </c>
    </row>
    <row r="16" spans="2:40" ht="13.8" x14ac:dyDescent="0.25">
      <c r="B16" s="7">
        <v>6.25</v>
      </c>
      <c r="C16" s="96">
        <v>-0.36679379299999998</v>
      </c>
      <c r="D16" s="96">
        <v>0.29466429999999999</v>
      </c>
      <c r="E16" s="7">
        <v>0</v>
      </c>
      <c r="F16" s="17"/>
      <c r="G16" s="1" t="s">
        <v>130</v>
      </c>
      <c r="K16" s="7"/>
      <c r="L16" s="96"/>
      <c r="O16" s="85"/>
      <c r="P16" s="35"/>
      <c r="Q16" s="35"/>
      <c r="R16" s="35"/>
      <c r="S16" s="35"/>
      <c r="AH16" s="1" t="s">
        <v>58</v>
      </c>
      <c r="AN16" s="1" t="s">
        <v>58</v>
      </c>
    </row>
    <row r="17" spans="2:40" x14ac:dyDescent="0.25">
      <c r="B17" s="7">
        <v>6.5</v>
      </c>
      <c r="C17" s="96">
        <v>-0.36508779299999999</v>
      </c>
      <c r="D17" s="96">
        <v>0.27699990000000002</v>
      </c>
      <c r="E17" s="7">
        <v>0</v>
      </c>
      <c r="F17" s="7"/>
      <c r="I17" s="108"/>
      <c r="K17" s="7"/>
      <c r="L17" s="96"/>
      <c r="O17" s="35"/>
      <c r="P17" s="35"/>
      <c r="Q17" s="35"/>
      <c r="R17" s="85"/>
      <c r="S17" s="35"/>
    </row>
    <row r="18" spans="2:40" x14ac:dyDescent="0.25">
      <c r="B18" s="7">
        <v>6.75</v>
      </c>
      <c r="C18" s="96">
        <v>-0.36226520800000001</v>
      </c>
      <c r="D18" s="96">
        <v>0.25961600000000001</v>
      </c>
      <c r="E18" s="7">
        <v>0</v>
      </c>
      <c r="F18" s="7"/>
      <c r="G18" s="1" t="s">
        <v>131</v>
      </c>
      <c r="I18" s="96"/>
      <c r="K18" s="7"/>
      <c r="L18" s="96"/>
      <c r="AH18" s="1" t="s">
        <v>59</v>
      </c>
      <c r="AN18" s="1" t="s">
        <v>59</v>
      </c>
    </row>
    <row r="19" spans="2:40" x14ac:dyDescent="0.25">
      <c r="B19" s="7">
        <v>7</v>
      </c>
      <c r="C19" s="96">
        <v>-0.35832909699999999</v>
      </c>
      <c r="D19" s="96">
        <v>0.2425465</v>
      </c>
      <c r="E19" s="7">
        <v>0</v>
      </c>
      <c r="F19" s="7"/>
      <c r="G19" s="1" t="s">
        <v>81</v>
      </c>
      <c r="I19" s="96"/>
      <c r="Y19" s="7"/>
      <c r="Z19" s="7"/>
      <c r="AA19" s="7"/>
      <c r="AH19" s="1" t="s">
        <v>60</v>
      </c>
      <c r="AN19" s="1" t="s">
        <v>60</v>
      </c>
    </row>
    <row r="20" spans="2:40" x14ac:dyDescent="0.25">
      <c r="B20" s="7">
        <v>7.25</v>
      </c>
      <c r="C20" s="96">
        <v>-0.353291668</v>
      </c>
      <c r="D20" s="96">
        <v>0.22581680000000001</v>
      </c>
      <c r="E20" s="7">
        <v>0</v>
      </c>
      <c r="G20" s="1" t="s">
        <v>75</v>
      </c>
      <c r="H20" s="1" t="s">
        <v>76</v>
      </c>
      <c r="I20" s="96"/>
      <c r="K20" s="26"/>
      <c r="L20" s="109"/>
      <c r="Y20" s="7"/>
      <c r="Z20" s="7"/>
      <c r="AA20" s="7"/>
      <c r="AH20" s="1" t="s">
        <v>92</v>
      </c>
      <c r="AN20" s="1" t="s">
        <v>93</v>
      </c>
    </row>
    <row r="21" spans="2:40" x14ac:dyDescent="0.25">
      <c r="B21" s="7">
        <v>7.5</v>
      </c>
      <c r="C21" s="96">
        <v>-0.34718029500000003</v>
      </c>
      <c r="D21" s="96">
        <v>0.20944769999999999</v>
      </c>
      <c r="E21" s="7">
        <v>0</v>
      </c>
      <c r="G21" s="1" t="s">
        <v>77</v>
      </c>
      <c r="H21" s="1" t="s">
        <v>78</v>
      </c>
      <c r="K21" s="26"/>
      <c r="L21" s="109"/>
      <c r="Y21" s="7"/>
      <c r="Z21" s="7"/>
      <c r="AA21" s="7"/>
    </row>
    <row r="22" spans="2:40" x14ac:dyDescent="0.25">
      <c r="B22" s="7">
        <v>7.75</v>
      </c>
      <c r="C22" s="96">
        <v>-0.34012540499999999</v>
      </c>
      <c r="D22" s="96">
        <v>0.19348109999999999</v>
      </c>
      <c r="E22" s="7">
        <v>0</v>
      </c>
      <c r="G22" s="1" t="s">
        <v>79</v>
      </c>
      <c r="H22" s="1" t="s">
        <v>80</v>
      </c>
      <c r="K22" s="26"/>
      <c r="L22" s="109"/>
      <c r="Y22" s="7"/>
      <c r="Z22" s="7"/>
      <c r="AA22" s="7"/>
      <c r="AH22" s="1" t="s">
        <v>61</v>
      </c>
      <c r="AN22" s="1" t="s">
        <v>61</v>
      </c>
    </row>
    <row r="23" spans="2:40" x14ac:dyDescent="0.25">
      <c r="B23" s="7">
        <v>8</v>
      </c>
      <c r="C23" s="96">
        <v>-0.33230496500000001</v>
      </c>
      <c r="D23" s="96">
        <v>0.1779665</v>
      </c>
      <c r="E23" s="7">
        <v>0</v>
      </c>
      <c r="G23" s="1" t="s">
        <v>171</v>
      </c>
      <c r="H23" s="1" t="s">
        <v>172</v>
      </c>
      <c r="K23" s="26"/>
      <c r="L23" s="109"/>
      <c r="AH23" s="1" t="s">
        <v>62</v>
      </c>
      <c r="AN23" s="1" t="s">
        <v>62</v>
      </c>
    </row>
    <row r="24" spans="2:40" x14ac:dyDescent="0.25">
      <c r="B24" s="7">
        <v>8.25</v>
      </c>
      <c r="C24" s="96">
        <v>-0.32387205600000002</v>
      </c>
      <c r="D24" s="96">
        <v>0.16294230000000001</v>
      </c>
      <c r="E24" s="7">
        <v>0</v>
      </c>
      <c r="K24" s="26"/>
      <c r="L24" s="109"/>
      <c r="AH24" s="1" t="s">
        <v>94</v>
      </c>
      <c r="AN24" s="1" t="s">
        <v>95</v>
      </c>
    </row>
    <row r="25" spans="2:40" x14ac:dyDescent="0.25">
      <c r="B25" s="7">
        <v>8.5</v>
      </c>
      <c r="C25" s="96">
        <v>-0.31495761</v>
      </c>
      <c r="D25" s="96">
        <v>0.14843790000000001</v>
      </c>
      <c r="E25" s="7">
        <v>0</v>
      </c>
      <c r="G25" s="11" t="s">
        <v>165</v>
      </c>
      <c r="K25" s="26"/>
      <c r="L25" s="109"/>
      <c r="W25" s="7"/>
      <c r="AH25" s="1" t="s">
        <v>96</v>
      </c>
      <c r="AN25" s="1" t="s">
        <v>97</v>
      </c>
    </row>
    <row r="26" spans="2:40" x14ac:dyDescent="0.25">
      <c r="B26" s="7">
        <v>8.75</v>
      </c>
      <c r="C26" s="96">
        <v>-0.30567382599999998</v>
      </c>
      <c r="D26" s="96">
        <v>0.13447509999999999</v>
      </c>
      <c r="E26" s="7">
        <v>0</v>
      </c>
      <c r="G26" s="9" t="s">
        <v>152</v>
      </c>
      <c r="K26" s="26"/>
      <c r="L26" s="109"/>
      <c r="W26" s="7"/>
      <c r="AH26" s="1" t="s">
        <v>98</v>
      </c>
      <c r="AN26" s="1" t="s">
        <v>99</v>
      </c>
    </row>
    <row r="27" spans="2:40" x14ac:dyDescent="0.25">
      <c r="B27" s="7">
        <v>9</v>
      </c>
      <c r="C27" s="96">
        <v>-0.296108019</v>
      </c>
      <c r="D27" s="96">
        <v>0.1210693</v>
      </c>
      <c r="E27" s="7">
        <v>0</v>
      </c>
      <c r="G27" s="9"/>
      <c r="K27" s="26"/>
      <c r="L27" s="109"/>
      <c r="W27" s="7"/>
      <c r="Y27" s="7"/>
      <c r="Z27" s="7"/>
      <c r="AA27" s="7"/>
      <c r="AH27" s="1" t="s">
        <v>100</v>
      </c>
      <c r="AN27" s="1" t="s">
        <v>101</v>
      </c>
    </row>
    <row r="28" spans="2:40" x14ac:dyDescent="0.25">
      <c r="B28" s="7">
        <v>9.25</v>
      </c>
      <c r="C28" s="96">
        <v>-0.28623521299999999</v>
      </c>
      <c r="D28" s="96">
        <v>0.1082306</v>
      </c>
      <c r="E28" s="7">
        <v>0</v>
      </c>
      <c r="G28" s="73" t="s">
        <v>132</v>
      </c>
      <c r="K28" s="26"/>
      <c r="L28" s="109"/>
      <c r="AH28" s="1" t="s">
        <v>102</v>
      </c>
      <c r="AN28" s="1" t="s">
        <v>103</v>
      </c>
    </row>
    <row r="29" spans="2:40" x14ac:dyDescent="0.25">
      <c r="B29" s="7">
        <v>9.5</v>
      </c>
      <c r="C29" s="96">
        <v>-0.27597386099999999</v>
      </c>
      <c r="D29" s="96">
        <v>9.5964579999999994E-2</v>
      </c>
      <c r="E29" s="7">
        <v>0</v>
      </c>
      <c r="G29" s="10" t="s">
        <v>175</v>
      </c>
      <c r="AH29" s="1" t="s">
        <v>104</v>
      </c>
      <c r="AN29" s="1" t="s">
        <v>105</v>
      </c>
    </row>
    <row r="30" spans="2:40" x14ac:dyDescent="0.25">
      <c r="B30" s="7">
        <v>9.75</v>
      </c>
      <c r="C30" s="96">
        <v>-0.26525565800000001</v>
      </c>
      <c r="D30" s="96">
        <v>8.427345E-2</v>
      </c>
      <c r="E30" s="7">
        <v>0</v>
      </c>
      <c r="F30" s="7"/>
      <c r="G30" s="10" t="s">
        <v>53</v>
      </c>
      <c r="AH30" s="1" t="s">
        <v>64</v>
      </c>
      <c r="AN30" s="1" t="s">
        <v>64</v>
      </c>
    </row>
    <row r="31" spans="2:40" ht="12" customHeight="1" x14ac:dyDescent="0.25">
      <c r="B31" s="7">
        <v>10</v>
      </c>
      <c r="C31" s="96">
        <v>-0.25402450999999998</v>
      </c>
      <c r="D31" s="96">
        <v>7.3156799999999994E-2</v>
      </c>
      <c r="E31" s="7">
        <v>0</v>
      </c>
      <c r="F31" s="7"/>
      <c r="G31" s="1" t="s">
        <v>55</v>
      </c>
      <c r="AH31" s="1" t="s">
        <v>65</v>
      </c>
      <c r="AN31" s="1" t="s">
        <v>65</v>
      </c>
    </row>
    <row r="32" spans="2:40" x14ac:dyDescent="0.25">
      <c r="B32" s="7">
        <v>10.25</v>
      </c>
      <c r="C32" s="96">
        <v>-0.242234686</v>
      </c>
      <c r="D32" s="96">
        <v>6.2611979999999998E-2</v>
      </c>
      <c r="E32" s="7">
        <v>0</v>
      </c>
      <c r="F32" s="7"/>
      <c r="G32" s="7"/>
    </row>
    <row r="33" spans="2:40" x14ac:dyDescent="0.25">
      <c r="B33" s="7">
        <v>10.5</v>
      </c>
      <c r="C33" s="96">
        <v>-0.22984927099999999</v>
      </c>
      <c r="D33" s="96">
        <v>5.2634559999999997E-2</v>
      </c>
      <c r="E33" s="7">
        <v>0</v>
      </c>
      <c r="G33" s="7"/>
      <c r="AH33" s="1" t="s">
        <v>106</v>
      </c>
      <c r="AN33" s="1" t="s">
        <v>107</v>
      </c>
    </row>
    <row r="34" spans="2:40" x14ac:dyDescent="0.25">
      <c r="B34" s="7">
        <v>10.75</v>
      </c>
      <c r="C34" s="96">
        <v>-0.21683992099999999</v>
      </c>
      <c r="D34" s="96">
        <v>4.3218230000000003E-2</v>
      </c>
      <c r="E34" s="7">
        <v>0</v>
      </c>
      <c r="G34" s="7"/>
      <c r="AH34" s="1" t="s">
        <v>91</v>
      </c>
      <c r="AN34" s="1" t="s">
        <v>66</v>
      </c>
    </row>
    <row r="35" spans="2:40" x14ac:dyDescent="0.25">
      <c r="B35" s="7">
        <v>11</v>
      </c>
      <c r="C35" s="96">
        <v>-0.20321289000000001</v>
      </c>
      <c r="D35" s="96">
        <v>3.4344819999999998E-2</v>
      </c>
      <c r="E35" s="7">
        <v>0</v>
      </c>
      <c r="G35" s="7"/>
      <c r="AH35" s="1" t="s">
        <v>108</v>
      </c>
      <c r="AN35" s="1" t="s">
        <v>109</v>
      </c>
    </row>
    <row r="36" spans="2:40" x14ac:dyDescent="0.25">
      <c r="B36" s="7">
        <v>11.25</v>
      </c>
      <c r="C36" s="96">
        <v>-0.18900605300000001</v>
      </c>
      <c r="D36" s="96">
        <v>2.5985330000000001E-2</v>
      </c>
      <c r="E36" s="7">
        <v>0</v>
      </c>
      <c r="G36" s="7"/>
      <c r="AH36" s="7"/>
    </row>
    <row r="37" spans="2:40" x14ac:dyDescent="0.25">
      <c r="B37" s="7">
        <v>11.5</v>
      </c>
      <c r="C37" s="96">
        <v>-0.17425605799999999</v>
      </c>
      <c r="D37" s="96">
        <v>1.811225E-2</v>
      </c>
      <c r="E37" s="7">
        <v>0</v>
      </c>
      <c r="AH37" s="7"/>
    </row>
    <row r="38" spans="2:40" x14ac:dyDescent="0.25">
      <c r="B38" s="7">
        <v>11.75</v>
      </c>
      <c r="C38" s="96">
        <v>-0.15899688300000001</v>
      </c>
      <c r="D38" s="96">
        <v>1.0700019999999999E-2</v>
      </c>
      <c r="E38" s="7">
        <v>0</v>
      </c>
      <c r="AH38" s="1" t="s">
        <v>83</v>
      </c>
    </row>
    <row r="39" spans="2:40" x14ac:dyDescent="0.25">
      <c r="B39" s="7">
        <v>12</v>
      </c>
      <c r="C39" s="96">
        <v>-0.14326007299999999</v>
      </c>
      <c r="D39" s="96">
        <v>3.724822E-3</v>
      </c>
      <c r="E39" s="7">
        <v>0</v>
      </c>
      <c r="P39" s="7"/>
      <c r="AH39" s="1" t="s">
        <v>84</v>
      </c>
    </row>
    <row r="40" spans="2:40" x14ac:dyDescent="0.25">
      <c r="B40" s="7">
        <v>12.25</v>
      </c>
      <c r="C40" s="96">
        <v>-0.12707495299999999</v>
      </c>
      <c r="D40" s="96">
        <v>-2.8355059999999998E-3</v>
      </c>
      <c r="E40" s="7">
        <v>0</v>
      </c>
      <c r="F40" s="7"/>
      <c r="P40" s="7"/>
      <c r="AH40" s="1" t="s">
        <v>85</v>
      </c>
    </row>
    <row r="41" spans="2:40" x14ac:dyDescent="0.25">
      <c r="B41" s="7">
        <v>12.5</v>
      </c>
      <c r="C41" s="96">
        <v>-0.11046882</v>
      </c>
      <c r="D41" s="96">
        <v>-9.0016680000000009E-3</v>
      </c>
      <c r="E41" s="7">
        <v>0</v>
      </c>
      <c r="F41" s="7"/>
      <c r="AH41" s="1" t="s">
        <v>89</v>
      </c>
    </row>
    <row r="42" spans="2:40" x14ac:dyDescent="0.25">
      <c r="B42" s="7">
        <v>12.75</v>
      </c>
      <c r="C42" s="96">
        <v>-9.3467107999999993E-2</v>
      </c>
      <c r="D42" s="96">
        <v>-1.4793010000000001E-2</v>
      </c>
      <c r="E42" s="7">
        <v>0</v>
      </c>
      <c r="F42" s="7"/>
      <c r="AH42" s="1" t="s">
        <v>88</v>
      </c>
    </row>
    <row r="43" spans="2:40" x14ac:dyDescent="0.25">
      <c r="B43" s="7">
        <v>13</v>
      </c>
      <c r="C43" s="96">
        <v>-7.6107358999999999E-2</v>
      </c>
      <c r="D43" s="96">
        <v>-2.022823E-2</v>
      </c>
      <c r="E43" s="7">
        <v>0</v>
      </c>
      <c r="AH43" s="1" t="s">
        <v>90</v>
      </c>
    </row>
    <row r="44" spans="2:40" x14ac:dyDescent="0.25">
      <c r="B44" s="7">
        <v>13.25</v>
      </c>
      <c r="C44" s="96">
        <v>-5.8525194000000003E-2</v>
      </c>
      <c r="D44" s="96">
        <v>-2.5329279999999999E-2</v>
      </c>
      <c r="E44" s="7">
        <v>0</v>
      </c>
      <c r="G44" s="7"/>
      <c r="AH44" s="1" t="s">
        <v>58</v>
      </c>
    </row>
    <row r="45" spans="2:40" x14ac:dyDescent="0.25">
      <c r="B45" s="7">
        <v>13.5</v>
      </c>
      <c r="C45" s="96">
        <v>-4.0886998000000001E-2</v>
      </c>
      <c r="D45" s="96">
        <v>-3.011844E-2</v>
      </c>
      <c r="E45" s="7">
        <v>0</v>
      </c>
      <c r="G45" s="7"/>
    </row>
    <row r="46" spans="2:40" ht="12" customHeight="1" x14ac:dyDescent="0.25">
      <c r="B46" s="7">
        <v>13.75</v>
      </c>
      <c r="C46" s="96">
        <v>-2.3341810000000001E-2</v>
      </c>
      <c r="D46" s="96">
        <v>-3.4616330000000001E-2</v>
      </c>
      <c r="E46" s="7">
        <v>0</v>
      </c>
      <c r="F46" s="7"/>
      <c r="G46" s="7"/>
      <c r="AH46" s="1" t="s">
        <v>59</v>
      </c>
    </row>
    <row r="47" spans="2:40" x14ac:dyDescent="0.25">
      <c r="B47" s="7">
        <v>14</v>
      </c>
      <c r="C47" s="96">
        <v>-6.0228829999999997E-3</v>
      </c>
      <c r="D47" s="96">
        <v>-3.8842040000000001E-2</v>
      </c>
      <c r="E47" s="7">
        <v>0</v>
      </c>
      <c r="F47" s="7"/>
      <c r="AH47" s="1" t="s">
        <v>60</v>
      </c>
    </row>
    <row r="48" spans="2:40" x14ac:dyDescent="0.25">
      <c r="B48" s="7">
        <v>14.25</v>
      </c>
      <c r="C48" s="96">
        <v>1.0950702999999999E-2</v>
      </c>
      <c r="D48" s="96">
        <v>-4.2813259999999999E-2</v>
      </c>
      <c r="E48" s="7">
        <v>0</v>
      </c>
      <c r="F48" s="7"/>
      <c r="AH48" s="1" t="s">
        <v>110</v>
      </c>
    </row>
    <row r="49" spans="2:34" x14ac:dyDescent="0.25">
      <c r="B49" s="7">
        <v>14.5</v>
      </c>
      <c r="C49" s="96">
        <v>2.7472610000000001E-2</v>
      </c>
      <c r="D49" s="96">
        <v>-4.6546379999999998E-2</v>
      </c>
      <c r="E49" s="7">
        <v>0</v>
      </c>
      <c r="F49" s="21"/>
    </row>
    <row r="50" spans="2:34" x14ac:dyDescent="0.25">
      <c r="B50" s="7">
        <v>14.75</v>
      </c>
      <c r="C50" s="96">
        <v>4.3447962999999999E-2</v>
      </c>
      <c r="D50" s="96">
        <v>-5.0056639999999999E-2</v>
      </c>
      <c r="E50" s="7">
        <v>0</v>
      </c>
      <c r="F50" s="21"/>
      <c r="G50" s="7"/>
      <c r="AH50" s="1" t="s">
        <v>61</v>
      </c>
    </row>
    <row r="51" spans="2:34" x14ac:dyDescent="0.25">
      <c r="B51" s="7">
        <v>15</v>
      </c>
      <c r="C51" s="96">
        <v>5.8792219999999999E-2</v>
      </c>
      <c r="D51" s="96">
        <v>-5.335819E-2</v>
      </c>
      <c r="E51" s="7">
        <v>0</v>
      </c>
      <c r="F51" s="21"/>
      <c r="G51" s="7"/>
      <c r="AH51" s="1" t="s">
        <v>63</v>
      </c>
    </row>
    <row r="52" spans="2:34" x14ac:dyDescent="0.25">
      <c r="B52" s="7">
        <v>15.25</v>
      </c>
      <c r="C52" s="96">
        <v>7.3430148000000001E-2</v>
      </c>
      <c r="D52" s="96">
        <v>-5.6464220000000002E-2</v>
      </c>
      <c r="E52" s="7">
        <v>0</v>
      </c>
      <c r="F52" s="21"/>
      <c r="G52" s="7"/>
      <c r="AH52" s="1" t="s">
        <v>111</v>
      </c>
    </row>
    <row r="53" spans="2:34" x14ac:dyDescent="0.25">
      <c r="B53" s="7">
        <v>15.5</v>
      </c>
      <c r="C53" s="96">
        <v>8.7295459000000006E-2</v>
      </c>
      <c r="D53" s="96">
        <v>-5.9386969999999997E-2</v>
      </c>
      <c r="E53" s="7">
        <v>0</v>
      </c>
      <c r="F53" s="21"/>
      <c r="G53" s="7"/>
      <c r="AH53" s="1" t="s">
        <v>112</v>
      </c>
    </row>
    <row r="54" spans="2:34" x14ac:dyDescent="0.25">
      <c r="B54" s="7">
        <v>15.75</v>
      </c>
      <c r="C54" s="96">
        <v>0.100356614</v>
      </c>
      <c r="D54" s="96">
        <v>-6.2137820000000003E-2</v>
      </c>
      <c r="E54" s="7">
        <v>0</v>
      </c>
      <c r="F54" s="21"/>
      <c r="G54" s="7"/>
      <c r="AH54" s="1" t="s">
        <v>113</v>
      </c>
    </row>
    <row r="55" spans="2:34" x14ac:dyDescent="0.25">
      <c r="B55" s="7">
        <v>16</v>
      </c>
      <c r="C55" s="96">
        <v>0.112625116</v>
      </c>
      <c r="D55" s="96">
        <v>-6.472725E-2</v>
      </c>
      <c r="E55" s="7">
        <v>0</v>
      </c>
      <c r="F55" s="21"/>
      <c r="G55" s="7"/>
      <c r="AH55" s="1" t="s">
        <v>114</v>
      </c>
    </row>
    <row r="56" spans="2:34" x14ac:dyDescent="0.25">
      <c r="B56" s="7">
        <v>16.25</v>
      </c>
      <c r="C56" s="96">
        <v>0.12411571</v>
      </c>
      <c r="D56" s="96">
        <v>-6.7165069999999993E-2</v>
      </c>
      <c r="E56" s="7">
        <v>0</v>
      </c>
      <c r="F56" s="21"/>
      <c r="G56" s="7"/>
      <c r="AH56" s="1" t="s">
        <v>115</v>
      </c>
    </row>
    <row r="57" spans="2:34" x14ac:dyDescent="0.25">
      <c r="B57" s="7">
        <v>16.5</v>
      </c>
      <c r="C57" s="96">
        <v>0.13484304799999999</v>
      </c>
      <c r="D57" s="96">
        <v>-6.9460430000000004E-2</v>
      </c>
      <c r="E57" s="7">
        <v>0</v>
      </c>
      <c r="G57" s="7"/>
      <c r="AH57" s="1" t="s">
        <v>116</v>
      </c>
    </row>
    <row r="58" spans="2:34" x14ac:dyDescent="0.25">
      <c r="B58" s="7">
        <v>16.75</v>
      </c>
      <c r="C58" s="96">
        <v>0.14482165799999999</v>
      </c>
      <c r="D58" s="96">
        <v>-7.1621900000000002E-2</v>
      </c>
      <c r="E58" s="7">
        <v>0</v>
      </c>
      <c r="G58" s="7"/>
      <c r="AH58" s="1" t="s">
        <v>64</v>
      </c>
    </row>
    <row r="59" spans="2:34" x14ac:dyDescent="0.25">
      <c r="B59" s="7">
        <v>17</v>
      </c>
      <c r="C59" s="96">
        <v>0.15406592399999999</v>
      </c>
      <c r="D59" s="96">
        <v>-7.3657500000000001E-2</v>
      </c>
      <c r="E59" s="7">
        <v>0</v>
      </c>
      <c r="G59" s="7"/>
      <c r="AH59" s="1" t="s">
        <v>65</v>
      </c>
    </row>
    <row r="60" spans="2:34" x14ac:dyDescent="0.25">
      <c r="B60" s="7">
        <v>17.25</v>
      </c>
      <c r="C60" s="96">
        <v>0.16259006000000001</v>
      </c>
      <c r="D60" s="96">
        <v>-7.5574760000000005E-2</v>
      </c>
      <c r="E60" s="7">
        <v>0</v>
      </c>
    </row>
    <row r="61" spans="2:34" x14ac:dyDescent="0.25">
      <c r="B61" s="7">
        <v>17.5</v>
      </c>
      <c r="C61" s="96">
        <v>0.17040809600000001</v>
      </c>
      <c r="D61" s="96">
        <v>-7.7380699999999997E-2</v>
      </c>
      <c r="E61" s="7">
        <v>0</v>
      </c>
      <c r="AH61" s="1" t="s">
        <v>117</v>
      </c>
    </row>
    <row r="62" spans="2:34" x14ac:dyDescent="0.25">
      <c r="B62" s="7">
        <v>17.75</v>
      </c>
      <c r="C62" s="96">
        <v>0.17753386600000001</v>
      </c>
      <c r="D62" s="96">
        <v>-7.9081949999999998E-2</v>
      </c>
      <c r="E62" s="7">
        <v>0</v>
      </c>
      <c r="AH62" s="1" t="s">
        <v>118</v>
      </c>
    </row>
    <row r="63" spans="2:34" x14ac:dyDescent="0.25">
      <c r="B63" s="7">
        <v>18</v>
      </c>
      <c r="C63" s="96">
        <v>0.18398099300000001</v>
      </c>
      <c r="D63" s="96">
        <v>-8.0684699999999998E-2</v>
      </c>
      <c r="E63" s="7">
        <v>0</v>
      </c>
      <c r="AH63" s="1" t="s">
        <v>119</v>
      </c>
    </row>
    <row r="64" spans="2:34" x14ac:dyDescent="0.25">
      <c r="B64" s="7">
        <v>18.25</v>
      </c>
      <c r="C64" s="96">
        <v>0.18976288199999999</v>
      </c>
      <c r="D64" s="96">
        <v>-8.2194799999999998E-2</v>
      </c>
      <c r="E64" s="7">
        <v>0</v>
      </c>
    </row>
    <row r="65" spans="2:5" x14ac:dyDescent="0.25">
      <c r="B65" s="7">
        <v>18.5</v>
      </c>
      <c r="C65" s="96">
        <v>0.194892713</v>
      </c>
      <c r="D65" s="96">
        <v>-8.3617709999999998E-2</v>
      </c>
      <c r="E65" s="7">
        <v>0</v>
      </c>
    </row>
    <row r="66" spans="2:5" x14ac:dyDescent="0.25">
      <c r="B66" s="7">
        <v>18.75</v>
      </c>
      <c r="C66" s="96">
        <v>0.199386492</v>
      </c>
      <c r="D66" s="96">
        <v>-8.4958450000000005E-2</v>
      </c>
      <c r="E66" s="7">
        <v>0</v>
      </c>
    </row>
    <row r="67" spans="2:5" x14ac:dyDescent="0.25">
      <c r="B67" s="7">
        <v>19</v>
      </c>
      <c r="C67" s="96">
        <v>0.203282623</v>
      </c>
      <c r="D67" s="96">
        <v>-8.6220619999999998E-2</v>
      </c>
      <c r="E67" s="7">
        <v>0</v>
      </c>
    </row>
    <row r="68" spans="2:5" x14ac:dyDescent="0.25">
      <c r="B68" s="7">
        <v>19.25</v>
      </c>
      <c r="C68" s="96">
        <v>0.206627589</v>
      </c>
      <c r="D68" s="96">
        <v>-8.7407150000000003E-2</v>
      </c>
      <c r="E68" s="7">
        <v>0</v>
      </c>
    </row>
    <row r="69" spans="2:5" x14ac:dyDescent="0.25">
      <c r="B69" s="7">
        <v>19.5</v>
      </c>
      <c r="C69" s="96">
        <v>0.209465032</v>
      </c>
      <c r="D69" s="96">
        <v>-8.8520829999999995E-2</v>
      </c>
      <c r="E69" s="7">
        <v>0</v>
      </c>
    </row>
    <row r="70" spans="2:5" x14ac:dyDescent="0.25">
      <c r="B70" s="7">
        <v>19.75</v>
      </c>
      <c r="C70" s="96">
        <v>0.211835893</v>
      </c>
      <c r="D70" s="96">
        <v>-8.9564320000000003E-2</v>
      </c>
      <c r="E70" s="7">
        <v>0</v>
      </c>
    </row>
    <row r="71" spans="2:5" x14ac:dyDescent="0.25">
      <c r="B71" s="7">
        <v>20</v>
      </c>
      <c r="C71" s="96">
        <v>0.21377859299999999</v>
      </c>
      <c r="D71" s="96">
        <v>-9.054015E-2</v>
      </c>
      <c r="E71" s="7">
        <v>0</v>
      </c>
    </row>
    <row r="72" spans="2:5" x14ac:dyDescent="0.25">
      <c r="B72" s="7">
        <v>20.25</v>
      </c>
      <c r="C72" s="96">
        <v>0.2153292</v>
      </c>
      <c r="D72" s="96">
        <v>-9.1450740000000003E-2</v>
      </c>
      <c r="E72" s="7">
        <v>0</v>
      </c>
    </row>
    <row r="73" spans="2:5" x14ac:dyDescent="0.25">
      <c r="B73" s="7">
        <v>20.5</v>
      </c>
      <c r="C73" s="96">
        <v>0.21652158599999999</v>
      </c>
      <c r="D73" s="96">
        <v>-9.2298420000000006E-2</v>
      </c>
      <c r="E73" s="7">
        <v>0</v>
      </c>
    </row>
    <row r="74" spans="2:5" x14ac:dyDescent="0.25">
      <c r="B74" s="7">
        <v>20.75</v>
      </c>
      <c r="C74" s="96">
        <v>0.21738757</v>
      </c>
      <c r="D74" s="96">
        <v>-9.3085390000000004E-2</v>
      </c>
      <c r="E74" s="7">
        <v>0</v>
      </c>
    </row>
    <row r="75" spans="2:5" x14ac:dyDescent="0.25">
      <c r="B75" s="7">
        <v>21</v>
      </c>
      <c r="C75" s="96">
        <v>0.21795705100000001</v>
      </c>
      <c r="D75" s="96">
        <v>-9.3813759999999996E-2</v>
      </c>
      <c r="E75" s="7">
        <v>0</v>
      </c>
    </row>
    <row r="76" spans="2:5" x14ac:dyDescent="0.25">
      <c r="B76" s="7">
        <v>21.25</v>
      </c>
      <c r="C76" s="96">
        <v>0.21825813299999999</v>
      </c>
      <c r="D76" s="96">
        <v>-9.4485570000000005E-2</v>
      </c>
      <c r="E76" s="7">
        <v>0</v>
      </c>
    </row>
    <row r="77" spans="2:5" x14ac:dyDescent="0.25">
      <c r="B77" s="7">
        <v>21.5</v>
      </c>
      <c r="C77" s="96">
        <v>0.218317238</v>
      </c>
      <c r="D77" s="96">
        <v>-9.510275E-2</v>
      </c>
      <c r="E77" s="7">
        <v>0</v>
      </c>
    </row>
    <row r="78" spans="2:5" x14ac:dyDescent="0.25">
      <c r="B78" s="7">
        <v>21.75</v>
      </c>
      <c r="C78" s="96">
        <v>0.21815921299999999</v>
      </c>
      <c r="D78" s="96">
        <v>-9.5667150000000006E-2</v>
      </c>
      <c r="E78" s="7">
        <v>0</v>
      </c>
    </row>
    <row r="79" spans="2:5" x14ac:dyDescent="0.25">
      <c r="B79" s="7">
        <v>22</v>
      </c>
      <c r="C79" s="96">
        <v>0.21780743</v>
      </c>
      <c r="D79" s="96">
        <v>-9.6180559999999998E-2</v>
      </c>
      <c r="E79" s="7">
        <v>0</v>
      </c>
    </row>
    <row r="80" spans="2:5" x14ac:dyDescent="0.25">
      <c r="B80" s="7">
        <v>22.25</v>
      </c>
      <c r="C80" s="96">
        <v>0.21728387599999999</v>
      </c>
      <c r="D80" s="96">
        <v>-9.6644679999999997E-2</v>
      </c>
      <c r="E80" s="7">
        <v>0</v>
      </c>
    </row>
    <row r="81" spans="2:5" x14ac:dyDescent="0.25">
      <c r="B81" s="7">
        <v>22.5</v>
      </c>
      <c r="C81" s="96">
        <v>0.21660891299999999</v>
      </c>
      <c r="D81" s="96">
        <v>-9.7061120000000001E-2</v>
      </c>
      <c r="E81" s="7">
        <v>0</v>
      </c>
    </row>
    <row r="82" spans="2:5" x14ac:dyDescent="0.25">
      <c r="B82" s="7">
        <v>22.75</v>
      </c>
      <c r="C82" s="96">
        <v>0.21579794099999999</v>
      </c>
      <c r="D82" s="96">
        <v>-9.7431299999999998E-2</v>
      </c>
      <c r="E82" s="7">
        <v>0</v>
      </c>
    </row>
    <row r="83" spans="2:5" x14ac:dyDescent="0.25">
      <c r="B83" s="7">
        <v>23</v>
      </c>
      <c r="C83" s="96">
        <v>0.21486306899999999</v>
      </c>
      <c r="D83" s="96">
        <v>-9.7756449999999995E-2</v>
      </c>
      <c r="E83" s="7">
        <v>0</v>
      </c>
    </row>
    <row r="84" spans="2:5" x14ac:dyDescent="0.25">
      <c r="B84" s="7">
        <v>23.25</v>
      </c>
      <c r="C84" s="96">
        <v>0.213815694</v>
      </c>
      <c r="D84" s="96">
        <v>-9.8037780000000005E-2</v>
      </c>
      <c r="E84" s="7">
        <v>0</v>
      </c>
    </row>
    <row r="85" spans="2:5" x14ac:dyDescent="0.25">
      <c r="B85" s="7">
        <v>23.5</v>
      </c>
      <c r="C85" s="96">
        <v>0.21266658599999999</v>
      </c>
      <c r="D85" s="96">
        <v>-9.8276459999999996E-2</v>
      </c>
      <c r="E85" s="7">
        <v>0</v>
      </c>
    </row>
    <row r="86" spans="2:5" x14ac:dyDescent="0.25">
      <c r="B86" s="7">
        <v>23.75</v>
      </c>
      <c r="C86" s="96">
        <v>0.21142592299999999</v>
      </c>
      <c r="D86" s="96">
        <v>-9.847359E-2</v>
      </c>
      <c r="E86" s="7">
        <v>0</v>
      </c>
    </row>
    <row r="87" spans="2:5" x14ac:dyDescent="0.25">
      <c r="B87" s="7">
        <v>24</v>
      </c>
      <c r="C87" s="96">
        <v>0.21010332500000001</v>
      </c>
      <c r="D87" s="96">
        <v>-9.8630280000000001E-2</v>
      </c>
      <c r="E87" s="7">
        <v>0</v>
      </c>
    </row>
    <row r="88" spans="2:5" x14ac:dyDescent="0.25">
      <c r="B88" s="7">
        <v>24.25</v>
      </c>
      <c r="C88" s="96">
        <v>0.20870788600000001</v>
      </c>
      <c r="D88" s="96">
        <v>-9.8747559999999998E-2</v>
      </c>
      <c r="E88" s="7">
        <v>0</v>
      </c>
    </row>
    <row r="89" spans="2:5" x14ac:dyDescent="0.25">
      <c r="B89" s="7">
        <v>24.5</v>
      </c>
      <c r="C89" s="96">
        <v>0.20724820399999999</v>
      </c>
      <c r="D89" s="96">
        <v>-9.8826449999999996E-2</v>
      </c>
      <c r="E89" s="7">
        <v>0</v>
      </c>
    </row>
    <row r="90" spans="2:5" x14ac:dyDescent="0.25">
      <c r="B90" s="7">
        <v>24.75</v>
      </c>
      <c r="C90" s="96">
        <v>0.205732409</v>
      </c>
      <c r="D90" s="96">
        <v>-9.8867930000000007E-2</v>
      </c>
      <c r="E90" s="7">
        <v>0</v>
      </c>
    </row>
    <row r="91" spans="2:5" x14ac:dyDescent="0.25">
      <c r="B91" s="7">
        <v>25</v>
      </c>
      <c r="C91" s="96">
        <v>0.204168191</v>
      </c>
      <c r="D91" s="96">
        <v>-9.8872950000000001E-2</v>
      </c>
      <c r="E91" s="7">
        <v>0</v>
      </c>
    </row>
    <row r="92" spans="2:5" x14ac:dyDescent="0.25">
      <c r="B92" s="7">
        <v>25.25</v>
      </c>
      <c r="C92" s="96">
        <v>0.20256282</v>
      </c>
      <c r="D92" s="96">
        <v>-9.8842429999999995E-2</v>
      </c>
      <c r="E92" s="7">
        <v>0</v>
      </c>
    </row>
    <row r="93" spans="2:5" x14ac:dyDescent="0.25">
      <c r="B93" s="7">
        <v>25.5</v>
      </c>
      <c r="C93" s="96">
        <v>0.20092317500000001</v>
      </c>
      <c r="D93" s="96">
        <v>-9.8777249999999997E-2</v>
      </c>
      <c r="E93" s="7">
        <v>0</v>
      </c>
    </row>
    <row r="94" spans="2:5" x14ac:dyDescent="0.25">
      <c r="B94" s="7">
        <v>25.75</v>
      </c>
      <c r="C94" s="96">
        <v>0.199255761</v>
      </c>
      <c r="D94" s="96">
        <v>-9.8678279999999993E-2</v>
      </c>
      <c r="E94" s="7">
        <v>0</v>
      </c>
    </row>
    <row r="95" spans="2:5" x14ac:dyDescent="0.25">
      <c r="B95" s="7">
        <v>26</v>
      </c>
      <c r="C95" s="96">
        <v>0.19756673</v>
      </c>
      <c r="D95" s="96">
        <v>-9.8546339999999996E-2</v>
      </c>
      <c r="E95" s="7">
        <v>0</v>
      </c>
    </row>
    <row r="96" spans="2:5" x14ac:dyDescent="0.25">
      <c r="B96" s="7">
        <v>26.25</v>
      </c>
      <c r="C96" s="96">
        <v>0.195861903</v>
      </c>
      <c r="D96" s="96">
        <v>-9.8382259999999999E-2</v>
      </c>
      <c r="E96" s="7">
        <v>0</v>
      </c>
    </row>
    <row r="97" spans="2:5" x14ac:dyDescent="0.25">
      <c r="B97" s="7">
        <v>26.5</v>
      </c>
      <c r="C97" s="96">
        <v>0.19414678499999999</v>
      </c>
      <c r="D97" s="96">
        <v>-9.8186800000000005E-2</v>
      </c>
      <c r="E97" s="7">
        <v>0</v>
      </c>
    </row>
    <row r="98" spans="2:5" x14ac:dyDescent="0.25">
      <c r="B98" s="7">
        <v>26.75</v>
      </c>
      <c r="C98" s="96">
        <v>0.19242658500000001</v>
      </c>
      <c r="D98" s="96">
        <v>-9.7960740000000004E-2</v>
      </c>
      <c r="E98" s="7">
        <v>0</v>
      </c>
    </row>
    <row r="99" spans="2:5" x14ac:dyDescent="0.25">
      <c r="B99" s="7">
        <v>27</v>
      </c>
      <c r="C99" s="96">
        <v>0.19070616700000001</v>
      </c>
      <c r="D99" s="96">
        <v>-9.770479E-2</v>
      </c>
      <c r="E99" s="7">
        <v>0</v>
      </c>
    </row>
    <row r="100" spans="2:5" x14ac:dyDescent="0.25">
      <c r="B100" s="7">
        <v>27.25</v>
      </c>
      <c r="C100" s="96">
        <v>0.188988449</v>
      </c>
      <c r="D100" s="96">
        <v>-9.7419530000000004E-2</v>
      </c>
      <c r="E100" s="7">
        <v>0</v>
      </c>
    </row>
    <row r="101" spans="2:5" x14ac:dyDescent="0.25">
      <c r="B101" s="7">
        <v>27.5</v>
      </c>
      <c r="C101" s="96">
        <v>0.187274306</v>
      </c>
      <c r="D101" s="96">
        <v>-9.7105350000000007E-2</v>
      </c>
      <c r="E101" s="7">
        <v>0</v>
      </c>
    </row>
    <row r="102" spans="2:5" x14ac:dyDescent="0.25">
      <c r="B102" s="7">
        <v>27.75</v>
      </c>
      <c r="C102" s="96">
        <v>0.18556446900000001</v>
      </c>
      <c r="D102" s="96">
        <v>-9.6762639999999997E-2</v>
      </c>
      <c r="E102" s="7">
        <v>0</v>
      </c>
    </row>
    <row r="103" spans="2:5" x14ac:dyDescent="0.25">
      <c r="B103" s="7">
        <v>28</v>
      </c>
      <c r="C103" s="96">
        <v>0.183859626</v>
      </c>
      <c r="D103" s="96">
        <v>-9.6391770000000002E-2</v>
      </c>
      <c r="E103" s="7">
        <v>0</v>
      </c>
    </row>
    <row r="104" spans="2:5" x14ac:dyDescent="0.25">
      <c r="B104" s="7">
        <v>28.25</v>
      </c>
      <c r="C104" s="96">
        <v>0.18216043000000001</v>
      </c>
      <c r="D104" s="96">
        <v>-9.5993120000000001E-2</v>
      </c>
      <c r="E104" s="7">
        <v>0</v>
      </c>
    </row>
    <row r="105" spans="2:5" x14ac:dyDescent="0.25">
      <c r="B105" s="7">
        <v>28.5</v>
      </c>
      <c r="C105" s="96">
        <v>0.18046749500000001</v>
      </c>
      <c r="D105" s="96">
        <v>-9.5567059999999995E-2</v>
      </c>
      <c r="E105" s="7">
        <v>0</v>
      </c>
    </row>
    <row r="106" spans="2:5" x14ac:dyDescent="0.25">
      <c r="B106" s="7">
        <v>28.75</v>
      </c>
      <c r="C106" s="96">
        <v>0.178781405</v>
      </c>
      <c r="D106" s="96">
        <v>-9.5113959999999997E-2</v>
      </c>
      <c r="E106" s="7">
        <v>0</v>
      </c>
    </row>
    <row r="107" spans="2:5" x14ac:dyDescent="0.25">
      <c r="B107" s="7">
        <v>29</v>
      </c>
      <c r="C107" s="96">
        <v>0.177102707</v>
      </c>
      <c r="D107" s="96">
        <v>-9.4634179999999998E-2</v>
      </c>
      <c r="E107" s="7">
        <v>0</v>
      </c>
    </row>
    <row r="108" spans="2:5" x14ac:dyDescent="0.25">
      <c r="B108" s="7">
        <v>29.25</v>
      </c>
      <c r="C108" s="96">
        <v>0.17543192099999999</v>
      </c>
      <c r="D108" s="96">
        <v>-9.4128069999999994E-2</v>
      </c>
      <c r="E108" s="7">
        <v>0</v>
      </c>
    </row>
    <row r="109" spans="2:5" x14ac:dyDescent="0.25">
      <c r="B109" s="7">
        <v>29.5</v>
      </c>
      <c r="C109" s="96">
        <v>0.173769536</v>
      </c>
      <c r="D109" s="96">
        <v>-9.3595999999999999E-2</v>
      </c>
      <c r="E109" s="7">
        <v>0</v>
      </c>
    </row>
    <row r="110" spans="2:5" x14ac:dyDescent="0.25">
      <c r="B110" s="7">
        <v>29.75</v>
      </c>
      <c r="C110" s="96">
        <v>0.17211601500000001</v>
      </c>
      <c r="D110" s="96">
        <v>-9.3038300000000004E-2</v>
      </c>
      <c r="E110" s="7">
        <v>0</v>
      </c>
    </row>
    <row r="111" spans="2:5" x14ac:dyDescent="0.25">
      <c r="B111" s="7">
        <v>30</v>
      </c>
      <c r="C111" s="96">
        <v>0.17047179300000001</v>
      </c>
      <c r="D111" s="96">
        <v>-9.2455330000000002E-2</v>
      </c>
      <c r="E111" s="7">
        <v>0</v>
      </c>
    </row>
    <row r="112" spans="2:5" x14ac:dyDescent="0.25">
      <c r="B112" s="7">
        <v>30.25</v>
      </c>
      <c r="C112" s="96">
        <v>0.16883728100000001</v>
      </c>
      <c r="D112" s="96">
        <v>-9.1847429999999994E-2</v>
      </c>
      <c r="E112" s="7">
        <v>0</v>
      </c>
    </row>
    <row r="113" spans="2:5" x14ac:dyDescent="0.25">
      <c r="B113" s="7">
        <v>30.5</v>
      </c>
      <c r="C113" s="96">
        <v>0.16721286499999999</v>
      </c>
      <c r="D113" s="96">
        <v>-9.1214920000000005E-2</v>
      </c>
      <c r="E113" s="7">
        <v>0</v>
      </c>
    </row>
    <row r="114" spans="2:5" x14ac:dyDescent="0.25">
      <c r="B114" s="7">
        <v>30.75</v>
      </c>
      <c r="C114" s="96">
        <v>0.16559891099999999</v>
      </c>
      <c r="D114" s="96">
        <v>-9.0558150000000004E-2</v>
      </c>
      <c r="E114" s="7">
        <v>0</v>
      </c>
    </row>
    <row r="115" spans="2:5" x14ac:dyDescent="0.25">
      <c r="B115" s="7">
        <v>31</v>
      </c>
      <c r="C115" s="96">
        <v>0.16399576099999999</v>
      </c>
      <c r="D115" s="96">
        <v>-8.9877429999999994E-2</v>
      </c>
      <c r="E115" s="7">
        <v>0</v>
      </c>
    </row>
    <row r="116" spans="2:5" x14ac:dyDescent="0.25">
      <c r="B116" s="7">
        <v>31.25</v>
      </c>
      <c r="C116" s="96">
        <v>0.16240373799999999</v>
      </c>
      <c r="D116" s="96">
        <v>-8.9173089999999997E-2</v>
      </c>
      <c r="E116" s="7">
        <v>0</v>
      </c>
    </row>
    <row r="117" spans="2:5" x14ac:dyDescent="0.25">
      <c r="B117" s="7">
        <v>31.5</v>
      </c>
      <c r="C117" s="96">
        <v>0.160823146</v>
      </c>
      <c r="D117" s="96">
        <v>-8.8445449999999995E-2</v>
      </c>
      <c r="E117" s="7">
        <v>0</v>
      </c>
    </row>
    <row r="118" spans="2:5" x14ac:dyDescent="0.25">
      <c r="B118" s="7">
        <v>31.75</v>
      </c>
      <c r="C118" s="96">
        <v>0.159254269</v>
      </c>
      <c r="D118" s="96">
        <v>-8.7694830000000001E-2</v>
      </c>
      <c r="E118" s="7">
        <v>0</v>
      </c>
    </row>
    <row r="119" spans="2:5" x14ac:dyDescent="0.25">
      <c r="B119" s="7">
        <v>32</v>
      </c>
      <c r="C119" s="96">
        <v>0.157697374</v>
      </c>
      <c r="D119" s="96">
        <v>-8.6921529999999997E-2</v>
      </c>
      <c r="E119" s="7">
        <v>0</v>
      </c>
    </row>
    <row r="120" spans="2:5" x14ac:dyDescent="0.25">
      <c r="B120" s="7">
        <v>32.25</v>
      </c>
      <c r="C120" s="96">
        <v>0.156152713</v>
      </c>
      <c r="D120" s="96">
        <v>-8.6125850000000004E-2</v>
      </c>
      <c r="E120" s="7">
        <v>0</v>
      </c>
    </row>
    <row r="121" spans="2:5" x14ac:dyDescent="0.25">
      <c r="B121" s="7">
        <v>32.5</v>
      </c>
      <c r="C121" s="96">
        <v>0.154620445</v>
      </c>
      <c r="D121" s="96">
        <v>-8.5308110000000006E-2</v>
      </c>
      <c r="E121" s="7">
        <v>0</v>
      </c>
    </row>
    <row r="122" spans="2:5" x14ac:dyDescent="0.25">
      <c r="B122" s="7">
        <v>32.75</v>
      </c>
      <c r="C122" s="96">
        <v>0.15309922500000001</v>
      </c>
      <c r="D122" s="96">
        <v>-8.4468650000000006E-2</v>
      </c>
      <c r="E122" s="7">
        <v>0</v>
      </c>
    </row>
    <row r="123" spans="2:5" x14ac:dyDescent="0.25">
      <c r="B123" s="7">
        <v>33</v>
      </c>
      <c r="C123" s="96">
        <v>0.15158640400000001</v>
      </c>
      <c r="D123" s="96">
        <v>-8.3607890000000004E-2</v>
      </c>
      <c r="E123" s="7">
        <v>0</v>
      </c>
    </row>
    <row r="124" spans="2:5" x14ac:dyDescent="0.25">
      <c r="B124" s="7">
        <v>33.25</v>
      </c>
      <c r="C124" s="96">
        <v>0.150079397</v>
      </c>
      <c r="D124" s="96">
        <v>-8.2726229999999998E-2</v>
      </c>
      <c r="E124" s="7">
        <v>0</v>
      </c>
    </row>
    <row r="125" spans="2:5" x14ac:dyDescent="0.25">
      <c r="B125" s="7">
        <v>33.5</v>
      </c>
      <c r="C125" s="96">
        <v>0.14857573399999999</v>
      </c>
      <c r="D125" s="96">
        <v>-8.1824040000000001E-2</v>
      </c>
      <c r="E125" s="7">
        <v>0</v>
      </c>
    </row>
    <row r="126" spans="2:5" x14ac:dyDescent="0.25">
      <c r="B126" s="7">
        <v>33.75</v>
      </c>
      <c r="C126" s="96">
        <v>0.14707305100000001</v>
      </c>
      <c r="D126" s="96">
        <v>-8.0901719999999996E-2</v>
      </c>
      <c r="E126" s="7">
        <v>0</v>
      </c>
    </row>
    <row r="127" spans="2:5" x14ac:dyDescent="0.25">
      <c r="B127" s="7">
        <v>34</v>
      </c>
      <c r="C127" s="96">
        <v>0.14556908900000001</v>
      </c>
      <c r="D127" s="96">
        <v>-7.9959630000000004E-2</v>
      </c>
      <c r="E127" s="7">
        <v>0</v>
      </c>
    </row>
    <row r="128" spans="2:5" x14ac:dyDescent="0.25">
      <c r="B128" s="7">
        <v>34.25</v>
      </c>
      <c r="C128" s="96">
        <v>0.14406168799999999</v>
      </c>
      <c r="D128" s="96">
        <v>-7.899813E-2</v>
      </c>
      <c r="E128" s="7">
        <v>0</v>
      </c>
    </row>
    <row r="129" spans="2:5" x14ac:dyDescent="0.25">
      <c r="B129" s="7">
        <v>34.5</v>
      </c>
      <c r="C129" s="96">
        <v>0.14254878400000001</v>
      </c>
      <c r="D129" s="96">
        <v>-7.8017589999999998E-2</v>
      </c>
      <c r="E129" s="7">
        <v>0</v>
      </c>
    </row>
    <row r="130" spans="2:5" x14ac:dyDescent="0.25">
      <c r="B130" s="7">
        <v>34.75</v>
      </c>
      <c r="C130" s="96">
        <v>0.141028403</v>
      </c>
      <c r="D130" s="96">
        <v>-7.7018349999999999E-2</v>
      </c>
      <c r="E130" s="7">
        <v>0</v>
      </c>
    </row>
    <row r="131" spans="2:5" x14ac:dyDescent="0.25">
      <c r="B131" s="7">
        <v>35</v>
      </c>
      <c r="C131" s="96">
        <v>0.139498658</v>
      </c>
      <c r="D131" s="96">
        <v>-7.6000739999999997E-2</v>
      </c>
      <c r="E131" s="7">
        <v>0</v>
      </c>
    </row>
    <row r="132" spans="2:5" x14ac:dyDescent="0.25">
      <c r="B132" s="7">
        <v>35.25</v>
      </c>
      <c r="C132" s="96">
        <v>0.13795774699999999</v>
      </c>
      <c r="D132" s="96">
        <v>-7.4965100000000007E-2</v>
      </c>
      <c r="E132" s="7">
        <v>0</v>
      </c>
    </row>
    <row r="133" spans="2:5" x14ac:dyDescent="0.25">
      <c r="B133" s="7">
        <v>35.5</v>
      </c>
      <c r="C133" s="96">
        <v>0.136403946</v>
      </c>
      <c r="D133" s="96">
        <v>-7.3911760000000007E-2</v>
      </c>
      <c r="E133" s="7">
        <v>0</v>
      </c>
    </row>
    <row r="134" spans="2:5" x14ac:dyDescent="0.25">
      <c r="B134" s="7">
        <v>35.75</v>
      </c>
      <c r="C134" s="96">
        <v>0.13483560999999999</v>
      </c>
      <c r="D134" s="96">
        <v>-7.2841030000000001E-2</v>
      </c>
      <c r="E134" s="7">
        <v>0</v>
      </c>
    </row>
    <row r="135" spans="2:5" x14ac:dyDescent="0.25">
      <c r="B135" s="7">
        <v>36</v>
      </c>
      <c r="C135" s="96">
        <v>0.133251166</v>
      </c>
      <c r="D135" s="96">
        <v>-7.1753220000000006E-2</v>
      </c>
      <c r="E135" s="7">
        <v>0</v>
      </c>
    </row>
    <row r="136" spans="2:5" x14ac:dyDescent="0.25">
      <c r="B136" s="7">
        <v>36.25</v>
      </c>
      <c r="C136" s="96">
        <v>0.13164911200000001</v>
      </c>
      <c r="D136" s="96">
        <v>-7.0648639999999999E-2</v>
      </c>
      <c r="E136" s="7">
        <v>0</v>
      </c>
    </row>
    <row r="137" spans="2:5" x14ac:dyDescent="0.25">
      <c r="B137" s="7">
        <v>36.5</v>
      </c>
      <c r="C137" s="96">
        <v>0.130028015</v>
      </c>
      <c r="D137" s="96">
        <v>-6.9527580000000005E-2</v>
      </c>
      <c r="E137" s="7">
        <v>0</v>
      </c>
    </row>
    <row r="138" spans="2:5" x14ac:dyDescent="0.25">
      <c r="B138" s="7">
        <v>36.75</v>
      </c>
      <c r="C138" s="96">
        <v>0.12838650400000001</v>
      </c>
      <c r="D138" s="96">
        <v>-6.8390339999999994E-2</v>
      </c>
      <c r="E138" s="7">
        <v>0</v>
      </c>
    </row>
    <row r="139" spans="2:5" x14ac:dyDescent="0.25">
      <c r="B139" s="7">
        <v>37</v>
      </c>
      <c r="C139" s="96">
        <v>0.126723272</v>
      </c>
      <c r="D139" s="96">
        <v>-6.7237199999999997E-2</v>
      </c>
      <c r="E139" s="7">
        <v>0</v>
      </c>
    </row>
    <row r="140" spans="2:5" x14ac:dyDescent="0.25">
      <c r="B140" s="7">
        <v>37.25</v>
      </c>
      <c r="C140" s="96">
        <v>0.125037072</v>
      </c>
      <c r="D140" s="96">
        <v>-6.6068440000000006E-2</v>
      </c>
      <c r="E140" s="7">
        <v>0</v>
      </c>
    </row>
    <row r="141" spans="2:5" x14ac:dyDescent="0.25">
      <c r="B141" s="7">
        <v>37.5</v>
      </c>
      <c r="C141" s="96">
        <v>0.123326714</v>
      </c>
      <c r="D141" s="96">
        <v>-6.4884330000000004E-2</v>
      </c>
      <c r="E141" s="7">
        <v>0</v>
      </c>
    </row>
    <row r="142" spans="2:5" x14ac:dyDescent="0.25">
      <c r="B142" s="7">
        <v>37.75</v>
      </c>
      <c r="C142" s="96">
        <v>0.121591062</v>
      </c>
      <c r="D142" s="96">
        <v>-6.3685140000000001E-2</v>
      </c>
      <c r="E142" s="7">
        <v>0</v>
      </c>
    </row>
    <row r="143" spans="2:5" x14ac:dyDescent="0.25">
      <c r="B143" s="7">
        <v>38</v>
      </c>
      <c r="C143" s="96">
        <v>0.119829034</v>
      </c>
      <c r="D143" s="96">
        <v>-6.2471140000000001E-2</v>
      </c>
      <c r="E143" s="7">
        <v>0</v>
      </c>
    </row>
    <row r="144" spans="2:5" x14ac:dyDescent="0.25">
      <c r="B144" s="7">
        <v>38.25</v>
      </c>
      <c r="C144" s="96">
        <v>0.118039598</v>
      </c>
      <c r="D144" s="96">
        <v>-6.1242570000000003E-2</v>
      </c>
      <c r="E144" s="7">
        <v>0</v>
      </c>
    </row>
    <row r="145" spans="2:5" x14ac:dyDescent="0.25">
      <c r="B145" s="7">
        <v>38.5</v>
      </c>
      <c r="C145" s="96">
        <v>0.11622177</v>
      </c>
      <c r="D145" s="96">
        <v>-5.9999690000000001E-2</v>
      </c>
      <c r="E145" s="7">
        <v>0</v>
      </c>
    </row>
    <row r="146" spans="2:5" x14ac:dyDescent="0.25">
      <c r="B146" s="7">
        <v>38.75</v>
      </c>
      <c r="C146" s="96">
        <v>0.114374614</v>
      </c>
      <c r="D146" s="96">
        <v>-5.8742759999999998E-2</v>
      </c>
      <c r="E146" s="7">
        <v>0</v>
      </c>
    </row>
    <row r="147" spans="2:5" x14ac:dyDescent="0.25">
      <c r="B147" s="7">
        <v>39</v>
      </c>
      <c r="C147" s="96">
        <v>0.112497239</v>
      </c>
      <c r="D147" s="96">
        <v>-5.7471990000000001E-2</v>
      </c>
      <c r="E147" s="7">
        <v>0</v>
      </c>
    </row>
    <row r="148" spans="2:5" x14ac:dyDescent="0.25">
      <c r="B148" s="7">
        <v>39.25</v>
      </c>
      <c r="C148" s="96">
        <v>0.110588954</v>
      </c>
      <c r="D148" s="96">
        <v>-5.6187620000000001E-2</v>
      </c>
      <c r="E148" s="7">
        <v>0</v>
      </c>
    </row>
    <row r="149" spans="2:5" x14ac:dyDescent="0.25">
      <c r="B149" s="7">
        <v>39.5</v>
      </c>
      <c r="C149" s="96">
        <v>0.108649523</v>
      </c>
      <c r="D149" s="96">
        <v>-5.4889739999999999E-2</v>
      </c>
      <c r="E149" s="7">
        <v>0</v>
      </c>
    </row>
    <row r="150" spans="2:5" x14ac:dyDescent="0.25">
      <c r="B150" s="7">
        <v>39.75</v>
      </c>
      <c r="C150" s="96">
        <v>0.10667879600000001</v>
      </c>
      <c r="D150" s="96">
        <v>-5.3578460000000001E-2</v>
      </c>
      <c r="E150" s="7">
        <v>0</v>
      </c>
    </row>
    <row r="151" spans="2:5" x14ac:dyDescent="0.25">
      <c r="B151" s="7">
        <v>40</v>
      </c>
      <c r="C151" s="96">
        <v>0.104676638</v>
      </c>
      <c r="D151" s="96">
        <v>-5.2253889999999997E-2</v>
      </c>
      <c r="E151" s="7">
        <v>0</v>
      </c>
    </row>
    <row r="152" spans="2:5" x14ac:dyDescent="0.25">
      <c r="B152" s="7">
        <v>40.25</v>
      </c>
      <c r="C152" s="96">
        <v>0.102642926</v>
      </c>
      <c r="D152" s="96">
        <v>-5.0916139999999999E-2</v>
      </c>
      <c r="E152" s="7">
        <v>0</v>
      </c>
    </row>
    <row r="153" spans="2:5" x14ac:dyDescent="0.25">
      <c r="B153" s="7">
        <v>40.5</v>
      </c>
      <c r="C153" s="96">
        <v>0.100577552</v>
      </c>
      <c r="D153" s="96">
        <v>-4.95653E-2</v>
      </c>
      <c r="E153" s="7">
        <v>0</v>
      </c>
    </row>
    <row r="154" spans="2:5" x14ac:dyDescent="0.25">
      <c r="B154" s="7">
        <v>40.75</v>
      </c>
      <c r="C154" s="96">
        <v>9.8480420999999999E-2</v>
      </c>
      <c r="D154" s="96">
        <v>-4.8201470000000003E-2</v>
      </c>
      <c r="E154" s="7">
        <v>0</v>
      </c>
    </row>
    <row r="155" spans="2:5" x14ac:dyDescent="0.25">
      <c r="B155" s="7">
        <v>41</v>
      </c>
      <c r="C155" s="96">
        <v>9.6351449000000006E-2</v>
      </c>
      <c r="D155" s="96">
        <v>-4.6824770000000002E-2</v>
      </c>
      <c r="E155" s="7">
        <v>0</v>
      </c>
    </row>
    <row r="156" spans="2:5" x14ac:dyDescent="0.25">
      <c r="B156" s="7">
        <v>41.25</v>
      </c>
      <c r="C156" s="96">
        <v>9.4190566000000003E-2</v>
      </c>
      <c r="D156" s="96">
        <v>-4.5435299999999998E-2</v>
      </c>
      <c r="E156" s="7">
        <v>0</v>
      </c>
    </row>
    <row r="157" spans="2:5" x14ac:dyDescent="0.25">
      <c r="B157" s="7">
        <v>41.5</v>
      </c>
      <c r="C157" s="96">
        <v>9.1997710999999996E-2</v>
      </c>
      <c r="D157" s="96">
        <v>-4.4033160000000002E-2</v>
      </c>
      <c r="E157" s="7">
        <v>0</v>
      </c>
    </row>
    <row r="158" spans="2:5" x14ac:dyDescent="0.25">
      <c r="B158" s="7">
        <v>41.75</v>
      </c>
      <c r="C158" s="96">
        <v>8.9772833999999996E-2</v>
      </c>
      <c r="D158" s="96">
        <v>-4.2618459999999997E-2</v>
      </c>
      <c r="E158" s="7">
        <v>0</v>
      </c>
    </row>
    <row r="159" spans="2:5" x14ac:dyDescent="0.25">
      <c r="B159" s="7">
        <v>42</v>
      </c>
      <c r="C159" s="96">
        <v>8.7515896999999995E-2</v>
      </c>
      <c r="D159" s="96">
        <v>-4.1191289999999998E-2</v>
      </c>
      <c r="E159" s="7">
        <v>0</v>
      </c>
    </row>
    <row r="160" spans="2:5" x14ac:dyDescent="0.25">
      <c r="B160" s="7">
        <v>42.25</v>
      </c>
      <c r="C160" s="96">
        <v>8.5226868999999997E-2</v>
      </c>
      <c r="D160" s="96">
        <v>-3.9751759999999997E-2</v>
      </c>
      <c r="E160" s="7">
        <v>0</v>
      </c>
    </row>
    <row r="161" spans="2:5" x14ac:dyDescent="0.25">
      <c r="B161" s="7">
        <v>42.5</v>
      </c>
      <c r="C161" s="96">
        <v>8.2905729999999997E-2</v>
      </c>
      <c r="D161" s="96">
        <v>-3.8299970000000003E-2</v>
      </c>
      <c r="E161" s="7">
        <v>0</v>
      </c>
    </row>
    <row r="162" spans="2:5" x14ac:dyDescent="0.25">
      <c r="B162" s="7">
        <v>42.75</v>
      </c>
      <c r="C162" s="96">
        <v>8.0552469000000002E-2</v>
      </c>
      <c r="D162" s="96">
        <v>-3.6836029999999999E-2</v>
      </c>
      <c r="E162" s="7">
        <v>0</v>
      </c>
    </row>
    <row r="163" spans="2:5" x14ac:dyDescent="0.25">
      <c r="B163" s="7">
        <v>43</v>
      </c>
      <c r="C163" s="96">
        <v>7.8167083999999998E-2</v>
      </c>
      <c r="D163" s="96">
        <v>-3.5360040000000002E-2</v>
      </c>
      <c r="E163" s="7">
        <v>0</v>
      </c>
    </row>
    <row r="164" spans="2:5" x14ac:dyDescent="0.25">
      <c r="B164" s="7">
        <v>43.25</v>
      </c>
      <c r="C164" s="96">
        <v>7.5749578999999997E-2</v>
      </c>
      <c r="D164" s="96">
        <v>-3.3872090000000001E-2</v>
      </c>
      <c r="E164" s="7">
        <v>0</v>
      </c>
    </row>
    <row r="165" spans="2:5" x14ac:dyDescent="0.25">
      <c r="B165" s="7">
        <v>43.5</v>
      </c>
      <c r="C165" s="96">
        <v>7.3299967999999993E-2</v>
      </c>
      <c r="D165" s="96">
        <v>-3.2372289999999998E-2</v>
      </c>
      <c r="E165" s="7">
        <v>0</v>
      </c>
    </row>
    <row r="166" spans="2:5" x14ac:dyDescent="0.25">
      <c r="B166" s="7">
        <v>43.75</v>
      </c>
      <c r="C166" s="96">
        <v>7.0818271000000002E-2</v>
      </c>
      <c r="D166" s="96">
        <v>-3.0860749999999999E-2</v>
      </c>
      <c r="E166" s="7">
        <v>0</v>
      </c>
    </row>
    <row r="167" spans="2:5" x14ac:dyDescent="0.25">
      <c r="B167" s="7">
        <v>44</v>
      </c>
      <c r="C167" s="96">
        <v>6.8304514999999996E-2</v>
      </c>
      <c r="D167" s="96">
        <v>-2.933755E-2</v>
      </c>
      <c r="E167" s="7">
        <v>0</v>
      </c>
    </row>
    <row r="168" spans="2:5" x14ac:dyDescent="0.25">
      <c r="B168" s="7">
        <v>44.25</v>
      </c>
      <c r="C168" s="96">
        <v>6.5758735999999998E-2</v>
      </c>
      <c r="D168" s="96">
        <v>-2.7802810000000001E-2</v>
      </c>
      <c r="E168" s="7">
        <v>0</v>
      </c>
    </row>
    <row r="169" spans="2:5" x14ac:dyDescent="0.25">
      <c r="B169" s="7">
        <v>44.5</v>
      </c>
      <c r="C169" s="96">
        <v>6.3180972000000002E-2</v>
      </c>
      <c r="D169" s="96">
        <v>-2.625661E-2</v>
      </c>
      <c r="E169" s="7">
        <v>0</v>
      </c>
    </row>
    <row r="170" spans="2:5" x14ac:dyDescent="0.25">
      <c r="B170" s="7">
        <v>44.75</v>
      </c>
      <c r="C170" s="96">
        <v>6.0571273000000002E-2</v>
      </c>
      <c r="D170" s="96">
        <v>-2.469907E-2</v>
      </c>
      <c r="E170" s="7">
        <v>0</v>
      </c>
    </row>
    <row r="171" spans="2:5" x14ac:dyDescent="0.25">
      <c r="B171" s="7">
        <v>45</v>
      </c>
      <c r="C171" s="96">
        <v>5.7929688999999999E-2</v>
      </c>
      <c r="D171" s="96">
        <v>-2.3130270000000001E-2</v>
      </c>
      <c r="E171" s="7">
        <v>0</v>
      </c>
    </row>
    <row r="172" spans="2:5" x14ac:dyDescent="0.25">
      <c r="B172" s="7">
        <v>45.25</v>
      </c>
      <c r="C172" s="96">
        <v>5.5256278999999998E-2</v>
      </c>
      <c r="D172" s="96">
        <v>-2.155031E-2</v>
      </c>
      <c r="E172" s="7">
        <v>0</v>
      </c>
    </row>
    <row r="173" spans="2:5" x14ac:dyDescent="0.25">
      <c r="B173" s="7">
        <v>45.5</v>
      </c>
      <c r="C173" s="96">
        <v>5.2551107E-2</v>
      </c>
      <c r="D173" s="96">
        <v>-1.9959299999999999E-2</v>
      </c>
      <c r="E173" s="7">
        <v>0</v>
      </c>
    </row>
    <row r="174" spans="2:5" x14ac:dyDescent="0.25">
      <c r="B174" s="7">
        <v>45.75</v>
      </c>
      <c r="C174" s="96">
        <v>4.9814242000000002E-2</v>
      </c>
      <c r="D174" s="96">
        <v>-1.835732E-2</v>
      </c>
      <c r="E174" s="7">
        <v>0</v>
      </c>
    </row>
    <row r="175" spans="2:5" x14ac:dyDescent="0.25">
      <c r="B175" s="7">
        <v>46</v>
      </c>
      <c r="C175" s="96">
        <v>4.7045755000000002E-2</v>
      </c>
      <c r="D175" s="96">
        <v>-1.6744479999999999E-2</v>
      </c>
      <c r="E175" s="7">
        <v>0</v>
      </c>
    </row>
    <row r="176" spans="2:5" x14ac:dyDescent="0.25">
      <c r="B176" s="7">
        <v>46.25</v>
      </c>
      <c r="C176" s="96">
        <v>4.4245726999999999E-2</v>
      </c>
      <c r="D176" s="96">
        <v>-1.512086E-2</v>
      </c>
      <c r="E176" s="7">
        <v>0</v>
      </c>
    </row>
    <row r="177" spans="2:5" x14ac:dyDescent="0.25">
      <c r="B177" s="7">
        <v>46.5</v>
      </c>
      <c r="C177" s="96">
        <v>4.1414237999999999E-2</v>
      </c>
      <c r="D177" s="96">
        <v>-1.348657E-2</v>
      </c>
      <c r="E177" s="7">
        <v>0</v>
      </c>
    </row>
    <row r="178" spans="2:5" x14ac:dyDescent="0.25">
      <c r="B178" s="7">
        <v>46.75</v>
      </c>
      <c r="C178" s="96">
        <v>3.8551375999999998E-2</v>
      </c>
      <c r="D178" s="96">
        <v>-1.18417E-2</v>
      </c>
      <c r="E178" s="7">
        <v>0</v>
      </c>
    </row>
    <row r="179" spans="2:5" x14ac:dyDescent="0.25">
      <c r="B179" s="7">
        <v>47</v>
      </c>
      <c r="C179" s="96">
        <v>3.5657229999999998E-2</v>
      </c>
      <c r="D179" s="96">
        <v>-1.018634E-2</v>
      </c>
      <c r="E179" s="7">
        <v>0</v>
      </c>
    </row>
    <row r="180" spans="2:5" x14ac:dyDescent="0.25">
      <c r="B180" s="7">
        <v>47.25</v>
      </c>
      <c r="C180" s="96">
        <v>3.2731880999999997E-2</v>
      </c>
      <c r="D180" s="96">
        <v>-8.5206080000000007E-3</v>
      </c>
      <c r="E180" s="7">
        <v>0</v>
      </c>
    </row>
    <row r="181" spans="2:5" x14ac:dyDescent="0.25">
      <c r="B181" s="7">
        <v>47.5</v>
      </c>
      <c r="C181" s="96">
        <v>2.9775393000000001E-2</v>
      </c>
      <c r="D181" s="96">
        <v>-6.8446740000000002E-3</v>
      </c>
      <c r="E181" s="7">
        <v>0</v>
      </c>
    </row>
    <row r="182" spans="2:5" x14ac:dyDescent="0.25">
      <c r="B182" s="7">
        <v>47.75</v>
      </c>
      <c r="C182" s="96">
        <v>2.6787835999999999E-2</v>
      </c>
      <c r="D182" s="96">
        <v>-5.1586940000000001E-3</v>
      </c>
      <c r="E182" s="7">
        <v>0</v>
      </c>
    </row>
    <row r="183" spans="2:5" x14ac:dyDescent="0.25">
      <c r="B183" s="7">
        <v>48</v>
      </c>
      <c r="C183" s="96">
        <v>2.3769281E-2</v>
      </c>
      <c r="D183" s="96">
        <v>-3.462826E-3</v>
      </c>
      <c r="E183" s="7">
        <v>0</v>
      </c>
    </row>
    <row r="184" spans="2:5" x14ac:dyDescent="0.25">
      <c r="B184" s="7">
        <v>48.25</v>
      </c>
      <c r="C184" s="96">
        <v>2.0719804000000001E-2</v>
      </c>
      <c r="D184" s="96">
        <v>-1.7572250000000001E-3</v>
      </c>
      <c r="E184" s="7">
        <v>0</v>
      </c>
    </row>
    <row r="185" spans="2:5" x14ac:dyDescent="0.25">
      <c r="B185" s="7">
        <v>48.5</v>
      </c>
      <c r="C185" s="96">
        <v>1.7639485999999999E-2</v>
      </c>
      <c r="D185" s="96">
        <v>-4.2042760000000001E-5</v>
      </c>
      <c r="E185" s="7">
        <v>0</v>
      </c>
    </row>
    <row r="186" spans="2:5" x14ac:dyDescent="0.25">
      <c r="B186" s="7">
        <v>48.75</v>
      </c>
      <c r="C186" s="96">
        <v>1.4528411999999999E-2</v>
      </c>
      <c r="D186" s="96">
        <v>1.6825709999999999E-3</v>
      </c>
      <c r="E186" s="7">
        <v>0</v>
      </c>
    </row>
    <row r="187" spans="2:5" x14ac:dyDescent="0.25">
      <c r="B187" s="7">
        <v>49</v>
      </c>
      <c r="C187" s="96">
        <v>1.1386667E-2</v>
      </c>
      <c r="D187" s="96">
        <v>3.41647E-3</v>
      </c>
      <c r="E187" s="7">
        <v>0</v>
      </c>
    </row>
    <row r="188" spans="2:5" x14ac:dyDescent="0.25">
      <c r="B188" s="7">
        <v>49.25</v>
      </c>
      <c r="C188" s="96">
        <v>8.2143440000000002E-3</v>
      </c>
      <c r="D188" s="96">
        <v>5.1595089999999996E-3</v>
      </c>
      <c r="E188" s="7">
        <v>0</v>
      </c>
    </row>
    <row r="189" spans="2:5" x14ac:dyDescent="0.25">
      <c r="B189" s="7">
        <v>49.5</v>
      </c>
      <c r="C189" s="96">
        <v>5.0115359999999996E-3</v>
      </c>
      <c r="D189" s="96">
        <v>6.9115460000000002E-3</v>
      </c>
      <c r="E189" s="7">
        <v>0</v>
      </c>
    </row>
    <row r="190" spans="2:5" x14ac:dyDescent="0.25">
      <c r="B190" s="7">
        <v>49.75</v>
      </c>
      <c r="C190" s="96">
        <v>1.7783390000000001E-3</v>
      </c>
      <c r="D190" s="96">
        <v>8.6724420000000007E-3</v>
      </c>
      <c r="E190" s="7">
        <v>0</v>
      </c>
    </row>
    <row r="191" spans="2:5" x14ac:dyDescent="0.25">
      <c r="B191" s="7">
        <v>50</v>
      </c>
      <c r="C191" s="96">
        <v>-1.4851459999999999E-3</v>
      </c>
      <c r="D191" s="96">
        <v>1.044206E-2</v>
      </c>
      <c r="E191" s="7">
        <v>0</v>
      </c>
    </row>
    <row r="192" spans="2:5" x14ac:dyDescent="0.25">
      <c r="B192" s="7">
        <v>50.25</v>
      </c>
      <c r="C192" s="96">
        <v>-4.778816E-3</v>
      </c>
      <c r="D192" s="96">
        <v>1.222027E-2</v>
      </c>
      <c r="E192" s="7">
        <v>0</v>
      </c>
    </row>
    <row r="193" spans="2:5" x14ac:dyDescent="0.25">
      <c r="B193" s="7">
        <v>50.5</v>
      </c>
      <c r="C193" s="96">
        <v>-8.1025679999999992E-3</v>
      </c>
      <c r="D193" s="96">
        <v>1.4006930000000001E-2</v>
      </c>
      <c r="E193" s="7">
        <v>0</v>
      </c>
    </row>
    <row r="194" spans="2:5" x14ac:dyDescent="0.25">
      <c r="B194" s="7">
        <v>50.75</v>
      </c>
      <c r="C194" s="96">
        <v>-1.1456292E-2</v>
      </c>
      <c r="D194" s="96">
        <v>1.5801909999999999E-2</v>
      </c>
      <c r="E194" s="7">
        <v>0</v>
      </c>
    </row>
    <row r="195" spans="2:5" x14ac:dyDescent="0.25">
      <c r="B195" s="7">
        <v>51</v>
      </c>
      <c r="C195" s="96">
        <v>-1.483988E-2</v>
      </c>
      <c r="D195" s="96">
        <v>1.760509E-2</v>
      </c>
      <c r="E195" s="7">
        <v>0</v>
      </c>
    </row>
    <row r="196" spans="2:5" x14ac:dyDescent="0.25">
      <c r="B196" s="7">
        <v>51.25</v>
      </c>
      <c r="C196" s="96">
        <v>-1.8253219000000001E-2</v>
      </c>
      <c r="D196" s="96">
        <v>1.9416349999999999E-2</v>
      </c>
      <c r="E196" s="7">
        <v>0</v>
      </c>
    </row>
    <row r="197" spans="2:5" x14ac:dyDescent="0.25">
      <c r="B197" s="7">
        <v>51.5</v>
      </c>
      <c r="C197" s="96">
        <v>-2.1696196000000001E-2</v>
      </c>
      <c r="D197" s="96">
        <v>2.1235549999999999E-2</v>
      </c>
      <c r="E197" s="7">
        <v>0</v>
      </c>
    </row>
    <row r="198" spans="2:5" x14ac:dyDescent="0.25">
      <c r="B198" s="7">
        <v>51.75</v>
      </c>
      <c r="C198" s="96">
        <v>-2.5168692999999999E-2</v>
      </c>
      <c r="D198" s="96">
        <v>2.3062570000000001E-2</v>
      </c>
      <c r="E198" s="7">
        <v>0</v>
      </c>
    </row>
    <row r="199" spans="2:5" x14ac:dyDescent="0.25">
      <c r="B199" s="7">
        <v>52</v>
      </c>
      <c r="C199" s="96">
        <v>-2.8670594000000001E-2</v>
      </c>
      <c r="D199" s="96">
        <v>2.4897300000000001E-2</v>
      </c>
      <c r="E199" s="7">
        <v>0</v>
      </c>
    </row>
    <row r="200" spans="2:5" x14ac:dyDescent="0.25">
      <c r="B200" s="7">
        <v>52.25</v>
      </c>
      <c r="C200" s="96">
        <v>-3.2201778E-2</v>
      </c>
      <c r="D200" s="96">
        <v>2.6739619999999999E-2</v>
      </c>
      <c r="E200" s="7">
        <v>0</v>
      </c>
    </row>
    <row r="201" spans="2:5" x14ac:dyDescent="0.25">
      <c r="B201" s="7">
        <v>52.5</v>
      </c>
      <c r="C201" s="96">
        <v>-3.5762123999999999E-2</v>
      </c>
      <c r="D201" s="96">
        <v>2.8589409999999999E-2</v>
      </c>
      <c r="E201" s="7">
        <v>0</v>
      </c>
    </row>
    <row r="202" spans="2:5" x14ac:dyDescent="0.25">
      <c r="B202" s="7">
        <v>52.75</v>
      </c>
      <c r="C202" s="96">
        <v>-3.9351509999999999E-2</v>
      </c>
      <c r="D202" s="96">
        <v>3.0446560000000001E-2</v>
      </c>
      <c r="E202" s="7">
        <v>0</v>
      </c>
    </row>
    <row r="203" spans="2:5" x14ac:dyDescent="0.25">
      <c r="B203" s="7">
        <v>53</v>
      </c>
      <c r="C203" s="96">
        <v>-4.2969809999999997E-2</v>
      </c>
      <c r="D203" s="96">
        <v>3.2310949999999998E-2</v>
      </c>
      <c r="E203" s="7">
        <v>0</v>
      </c>
    </row>
    <row r="204" spans="2:5" x14ac:dyDescent="0.25">
      <c r="B204" s="7">
        <v>53.25</v>
      </c>
      <c r="C204" s="96">
        <v>-4.6616900000000003E-2</v>
      </c>
      <c r="D204" s="96">
        <v>3.4182480000000001E-2</v>
      </c>
      <c r="E204" s="7">
        <v>0</v>
      </c>
    </row>
    <row r="205" spans="2:5" x14ac:dyDescent="0.25">
      <c r="B205" s="7">
        <v>53.5</v>
      </c>
      <c r="C205" s="96">
        <v>-5.0292651000000001E-2</v>
      </c>
      <c r="D205" s="96">
        <v>3.6061040000000003E-2</v>
      </c>
      <c r="E205" s="7">
        <v>0</v>
      </c>
    </row>
    <row r="206" spans="2:5" x14ac:dyDescent="0.25">
      <c r="B206" s="7">
        <v>53.75</v>
      </c>
      <c r="C206" s="96">
        <v>-5.3996937000000002E-2</v>
      </c>
      <c r="D206" s="96">
        <v>3.7946519999999997E-2</v>
      </c>
      <c r="E206" s="7">
        <v>0</v>
      </c>
    </row>
    <row r="207" spans="2:5" x14ac:dyDescent="0.25">
      <c r="B207" s="7">
        <v>54</v>
      </c>
      <c r="C207" s="96">
        <v>-5.7729626999999999E-2</v>
      </c>
      <c r="D207" s="96">
        <v>3.9838810000000002E-2</v>
      </c>
      <c r="E207" s="7">
        <v>0</v>
      </c>
    </row>
    <row r="208" spans="2:5" x14ac:dyDescent="0.25">
      <c r="B208" s="7">
        <v>54.25</v>
      </c>
      <c r="C208" s="96">
        <v>-6.1490590999999997E-2</v>
      </c>
      <c r="D208" s="96">
        <v>4.1737820000000002E-2</v>
      </c>
      <c r="E208" s="7">
        <v>0</v>
      </c>
    </row>
    <row r="209" spans="2:5" x14ac:dyDescent="0.25">
      <c r="B209" s="7">
        <v>54.5</v>
      </c>
      <c r="C209" s="96">
        <v>-6.5279697999999997E-2</v>
      </c>
      <c r="D209" s="96">
        <v>4.3643429999999997E-2</v>
      </c>
      <c r="E209" s="7">
        <v>0</v>
      </c>
    </row>
    <row r="210" spans="2:5" x14ac:dyDescent="0.25">
      <c r="B210" s="7">
        <v>54.75</v>
      </c>
      <c r="C210" s="96">
        <v>-6.9096815000000006E-2</v>
      </c>
      <c r="D210" s="96">
        <v>4.5555560000000002E-2</v>
      </c>
      <c r="E210" s="7">
        <v>0</v>
      </c>
    </row>
    <row r="211" spans="2:5" x14ac:dyDescent="0.25">
      <c r="B211" s="7">
        <v>55</v>
      </c>
      <c r="C211" s="96">
        <v>-7.2941808999999996E-2</v>
      </c>
      <c r="D211" s="96">
        <v>4.7474099999999998E-2</v>
      </c>
      <c r="E211" s="7">
        <v>0</v>
      </c>
    </row>
    <row r="212" spans="2:5" x14ac:dyDescent="0.25">
      <c r="B212" s="7">
        <v>55.25</v>
      </c>
      <c r="C212" s="96">
        <v>-7.6814546999999997E-2</v>
      </c>
      <c r="D212" s="96">
        <v>4.9398959999999999E-2</v>
      </c>
      <c r="E212" s="7">
        <v>0</v>
      </c>
    </row>
    <row r="213" spans="2:5" x14ac:dyDescent="0.25">
      <c r="B213" s="7">
        <v>55.5</v>
      </c>
      <c r="C213" s="96">
        <v>-8.0714893999999995E-2</v>
      </c>
      <c r="D213" s="96">
        <v>5.133004E-2</v>
      </c>
      <c r="E213" s="7">
        <v>0</v>
      </c>
    </row>
    <row r="214" spans="2:5" x14ac:dyDescent="0.25">
      <c r="B214" s="7">
        <v>55.75</v>
      </c>
      <c r="C214" s="96">
        <v>-8.4642713999999994E-2</v>
      </c>
      <c r="D214" s="96">
        <v>5.326724E-2</v>
      </c>
      <c r="E214" s="7">
        <v>0</v>
      </c>
    </row>
    <row r="215" spans="2:5" x14ac:dyDescent="0.25">
      <c r="B215" s="7">
        <v>56</v>
      </c>
      <c r="C215" s="96">
        <v>-8.8597870999999995E-2</v>
      </c>
      <c r="D215" s="96">
        <v>5.5210479999999999E-2</v>
      </c>
      <c r="E215" s="7">
        <v>0</v>
      </c>
    </row>
    <row r="216" spans="2:5" x14ac:dyDescent="0.25">
      <c r="B216" s="7">
        <v>56.25</v>
      </c>
      <c r="C216" s="96">
        <v>-9.2580229999999999E-2</v>
      </c>
      <c r="D216" s="96">
        <v>5.7159660000000001E-2</v>
      </c>
      <c r="E216" s="7">
        <v>0</v>
      </c>
    </row>
    <row r="217" spans="2:5" x14ac:dyDescent="0.25">
      <c r="B217" s="7">
        <v>56.5</v>
      </c>
      <c r="C217" s="96">
        <v>-9.6589652999999998E-2</v>
      </c>
      <c r="D217" s="96">
        <v>5.9114689999999998E-2</v>
      </c>
      <c r="E217" s="7">
        <v>0</v>
      </c>
    </row>
    <row r="218" spans="2:5" x14ac:dyDescent="0.25">
      <c r="B218" s="7">
        <v>56.75</v>
      </c>
      <c r="C218" s="96">
        <v>-0.100625784</v>
      </c>
      <c r="D218" s="96">
        <v>6.1075450000000003E-2</v>
      </c>
      <c r="E218" s="7">
        <v>0</v>
      </c>
    </row>
    <row r="219" spans="2:5" x14ac:dyDescent="0.25">
      <c r="B219" s="7">
        <v>57</v>
      </c>
      <c r="C219" s="96">
        <v>-0.104687668</v>
      </c>
      <c r="D219" s="96">
        <v>6.3041650000000005E-2</v>
      </c>
      <c r="E219" s="7">
        <v>0</v>
      </c>
    </row>
    <row r="220" spans="2:5" x14ac:dyDescent="0.25">
      <c r="B220" s="7">
        <v>57.25</v>
      </c>
      <c r="C220" s="96">
        <v>-0.10877426799999999</v>
      </c>
      <c r="D220" s="96">
        <v>6.5013029999999999E-2</v>
      </c>
      <c r="E220" s="7">
        <v>0</v>
      </c>
    </row>
    <row r="221" spans="2:5" x14ac:dyDescent="0.25">
      <c r="B221" s="7">
        <v>57.5</v>
      </c>
      <c r="C221" s="96">
        <v>-0.112884569</v>
      </c>
      <c r="D221" s="96">
        <v>6.6989309999999996E-2</v>
      </c>
      <c r="E221" s="7">
        <v>0</v>
      </c>
    </row>
    <row r="222" spans="2:5" x14ac:dyDescent="0.25">
      <c r="B222" s="7">
        <v>57.75</v>
      </c>
      <c r="C222" s="96">
        <v>-0.11701758</v>
      </c>
      <c r="D222" s="96">
        <v>6.8970210000000004E-2</v>
      </c>
      <c r="E222" s="7">
        <v>0</v>
      </c>
    </row>
    <row r="223" spans="2:5" x14ac:dyDescent="0.25">
      <c r="B223" s="7">
        <v>58</v>
      </c>
      <c r="C223" s="96">
        <v>-0.12117233099999999</v>
      </c>
      <c r="D223" s="96">
        <v>7.0955489999999996E-2</v>
      </c>
      <c r="E223" s="7">
        <v>0</v>
      </c>
    </row>
    <row r="224" spans="2:5" x14ac:dyDescent="0.25">
      <c r="B224" s="7">
        <v>58.25</v>
      </c>
      <c r="C224" s="96">
        <v>-0.125347875</v>
      </c>
      <c r="D224" s="96">
        <v>7.2944869999999995E-2</v>
      </c>
      <c r="E224" s="7">
        <v>0</v>
      </c>
    </row>
    <row r="225" spans="2:5" x14ac:dyDescent="0.25">
      <c r="B225" s="7">
        <v>58.5</v>
      </c>
      <c r="C225" s="96">
        <v>-0.12954328500000001</v>
      </c>
      <c r="D225" s="96">
        <v>7.4938119999999997E-2</v>
      </c>
      <c r="E225" s="7">
        <v>0</v>
      </c>
    </row>
    <row r="226" spans="2:5" x14ac:dyDescent="0.25">
      <c r="B226" s="7">
        <v>58.75</v>
      </c>
      <c r="C226" s="96">
        <v>-0.133757655</v>
      </c>
      <c r="D226" s="96">
        <v>7.6934989999999995E-2</v>
      </c>
      <c r="E226" s="7">
        <v>0</v>
      </c>
    </row>
    <row r="227" spans="2:5" x14ac:dyDescent="0.25">
      <c r="B227" s="7">
        <v>59</v>
      </c>
      <c r="C227" s="96">
        <v>-0.137990101</v>
      </c>
      <c r="D227" s="96">
        <v>7.8935229999999995E-2</v>
      </c>
      <c r="E227" s="7">
        <v>0</v>
      </c>
    </row>
    <row r="228" spans="2:5" x14ac:dyDescent="0.25">
      <c r="B228" s="7">
        <v>59.25</v>
      </c>
      <c r="C228" s="96">
        <v>-0.142239755</v>
      </c>
      <c r="D228" s="96">
        <v>8.0938609999999994E-2</v>
      </c>
      <c r="E228" s="7">
        <v>0</v>
      </c>
    </row>
    <row r="229" spans="2:5" x14ac:dyDescent="0.25">
      <c r="B229" s="7">
        <v>59.5</v>
      </c>
      <c r="C229" s="96">
        <v>-0.14650577300000001</v>
      </c>
      <c r="D229" s="96">
        <v>8.2944920000000005E-2</v>
      </c>
      <c r="E229" s="7">
        <v>0</v>
      </c>
    </row>
    <row r="230" spans="2:5" x14ac:dyDescent="0.25">
      <c r="B230" s="7">
        <v>59.75</v>
      </c>
      <c r="C230" s="96">
        <v>-0.150787325</v>
      </c>
      <c r="D230" s="96">
        <v>8.4953909999999994E-2</v>
      </c>
      <c r="E230" s="7">
        <v>0</v>
      </c>
    </row>
    <row r="231" spans="2:5" x14ac:dyDescent="0.25">
      <c r="B231" s="7">
        <v>60</v>
      </c>
      <c r="C231" s="96">
        <v>-0.15508360199999999</v>
      </c>
      <c r="D231" s="96">
        <v>8.6965379999999995E-2</v>
      </c>
      <c r="E231" s="7">
        <v>0</v>
      </c>
    </row>
    <row r="232" spans="2:5" x14ac:dyDescent="0.25">
      <c r="B232" s="7">
        <v>60.25</v>
      </c>
      <c r="C232" s="96">
        <v>-0.15939381399999999</v>
      </c>
      <c r="D232" s="96">
        <v>8.897911E-2</v>
      </c>
      <c r="E232" s="7">
        <v>0</v>
      </c>
    </row>
    <row r="233" spans="2:5" x14ac:dyDescent="0.25">
      <c r="B233" s="7">
        <v>60.5</v>
      </c>
      <c r="C233" s="96">
        <v>-0.16371718699999999</v>
      </c>
      <c r="D233" s="96">
        <v>9.0994900000000004E-2</v>
      </c>
      <c r="E233" s="7">
        <v>0</v>
      </c>
    </row>
    <row r="234" spans="2:5" x14ac:dyDescent="0.25">
      <c r="B234" s="7">
        <v>60.75</v>
      </c>
      <c r="C234" s="96">
        <v>-0.168052963</v>
      </c>
      <c r="D234" s="96">
        <v>9.3012540000000005E-2</v>
      </c>
      <c r="E234" s="7">
        <v>0</v>
      </c>
    </row>
    <row r="235" spans="2:5" x14ac:dyDescent="0.25">
      <c r="B235" s="7">
        <v>61</v>
      </c>
      <c r="C235" s="96">
        <v>-0.17240040400000001</v>
      </c>
      <c r="D235" s="96">
        <v>9.5031829999999998E-2</v>
      </c>
      <c r="E235" s="7">
        <v>0</v>
      </c>
    </row>
    <row r="236" spans="2:5" x14ac:dyDescent="0.25">
      <c r="B236" s="7">
        <v>61.25</v>
      </c>
      <c r="C236" s="96">
        <v>-0.176758785</v>
      </c>
      <c r="D236" s="96">
        <v>9.7052579999999999E-2</v>
      </c>
      <c r="E236" s="7">
        <v>0</v>
      </c>
    </row>
    <row r="237" spans="2:5" x14ac:dyDescent="0.25">
      <c r="B237" s="7">
        <v>61.5</v>
      </c>
      <c r="C237" s="96">
        <v>-0.18112739999999999</v>
      </c>
      <c r="D237" s="96">
        <v>9.9074590000000004E-2</v>
      </c>
      <c r="E237" s="7">
        <v>0</v>
      </c>
    </row>
    <row r="238" spans="2:5" x14ac:dyDescent="0.25">
      <c r="B238" s="7">
        <v>61.75</v>
      </c>
      <c r="C238" s="96">
        <v>-0.18550555499999999</v>
      </c>
      <c r="D238" s="96">
        <v>0.1010977</v>
      </c>
      <c r="E238" s="7">
        <v>0</v>
      </c>
    </row>
    <row r="239" spans="2:5" x14ac:dyDescent="0.25">
      <c r="B239" s="7">
        <v>62</v>
      </c>
      <c r="C239" s="96">
        <v>-0.18989257600000001</v>
      </c>
      <c r="D239" s="96">
        <v>0.1031217</v>
      </c>
      <c r="E239" s="7">
        <v>0</v>
      </c>
    </row>
    <row r="240" spans="2:5" x14ac:dyDescent="0.25">
      <c r="B240" s="7">
        <v>62.25</v>
      </c>
      <c r="C240" s="96">
        <v>-0.19428780000000001</v>
      </c>
      <c r="D240" s="96">
        <v>0.1051464</v>
      </c>
      <c r="E240" s="7">
        <v>0</v>
      </c>
    </row>
    <row r="241" spans="2:5" x14ac:dyDescent="0.25">
      <c r="B241" s="7">
        <v>62.5</v>
      </c>
      <c r="C241" s="96">
        <v>-0.19869058000000001</v>
      </c>
      <c r="D241" s="96">
        <v>0.10717169999999999</v>
      </c>
      <c r="E241" s="7">
        <v>0</v>
      </c>
    </row>
    <row r="242" spans="2:5" x14ac:dyDescent="0.25">
      <c r="B242" s="7">
        <v>62.75</v>
      </c>
      <c r="C242" s="96">
        <v>-0.20310028399999999</v>
      </c>
      <c r="D242" s="96">
        <v>0.1091973</v>
      </c>
      <c r="E242" s="7">
        <v>0</v>
      </c>
    </row>
    <row r="243" spans="2:5" x14ac:dyDescent="0.25">
      <c r="B243" s="7">
        <v>63</v>
      </c>
      <c r="C243" s="96">
        <v>-0.20751629199999999</v>
      </c>
      <c r="D243" s="96">
        <v>0.11122319999999999</v>
      </c>
      <c r="E243" s="7">
        <v>0</v>
      </c>
    </row>
    <row r="244" spans="2:5" x14ac:dyDescent="0.25">
      <c r="B244" s="7">
        <v>63.25</v>
      </c>
      <c r="C244" s="96">
        <v>-0.21193799999999999</v>
      </c>
      <c r="D244" s="96">
        <v>0.11324910000000001</v>
      </c>
      <c r="E244" s="7">
        <v>0</v>
      </c>
    </row>
    <row r="245" spans="2:5" x14ac:dyDescent="0.25">
      <c r="B245" s="7">
        <v>63.5</v>
      </c>
      <c r="C245" s="96">
        <v>-0.21636481699999999</v>
      </c>
      <c r="D245" s="96">
        <v>0.1152749</v>
      </c>
      <c r="E245" s="7">
        <v>0</v>
      </c>
    </row>
    <row r="246" spans="2:5" x14ac:dyDescent="0.25">
      <c r="B246" s="7">
        <v>63.75</v>
      </c>
      <c r="C246" s="96">
        <v>-0.22079616199999999</v>
      </c>
      <c r="D246" s="96">
        <v>0.1173005</v>
      </c>
      <c r="E246" s="7">
        <v>0</v>
      </c>
    </row>
    <row r="247" spans="2:5" x14ac:dyDescent="0.25">
      <c r="B247" s="7">
        <v>64</v>
      </c>
      <c r="C247" s="96">
        <v>-0.22523147099999999</v>
      </c>
      <c r="D247" s="96">
        <v>0.11932570000000001</v>
      </c>
      <c r="E247" s="7">
        <v>0</v>
      </c>
    </row>
    <row r="248" spans="2:5" x14ac:dyDescent="0.25">
      <c r="B248" s="7">
        <v>64.25</v>
      </c>
      <c r="C248" s="96">
        <v>-0.22967019</v>
      </c>
      <c r="D248" s="96">
        <v>0.12135029999999999</v>
      </c>
      <c r="E248" s="7">
        <v>0</v>
      </c>
    </row>
    <row r="249" spans="2:5" x14ac:dyDescent="0.25">
      <c r="B249" s="7">
        <v>64.5</v>
      </c>
      <c r="C249" s="96">
        <v>-0.23411177799999999</v>
      </c>
      <c r="D249" s="96">
        <v>0.1233742</v>
      </c>
      <c r="E249" s="7">
        <v>0</v>
      </c>
    </row>
    <row r="250" spans="2:5" x14ac:dyDescent="0.25">
      <c r="B250" s="7">
        <v>64.75</v>
      </c>
      <c r="C250" s="96">
        <v>-0.23855570500000001</v>
      </c>
      <c r="D250" s="96">
        <v>0.12539719999999999</v>
      </c>
      <c r="E250" s="7">
        <v>0</v>
      </c>
    </row>
    <row r="251" spans="2:5" x14ac:dyDescent="0.25">
      <c r="B251" s="7">
        <v>65</v>
      </c>
      <c r="C251" s="96">
        <v>-0.24300145300000001</v>
      </c>
      <c r="D251" s="96">
        <v>0.12741930000000001</v>
      </c>
      <c r="E251" s="7">
        <v>0</v>
      </c>
    </row>
    <row r="252" spans="2:5" x14ac:dyDescent="0.25">
      <c r="B252" s="7">
        <v>65.25</v>
      </c>
      <c r="C252" s="96">
        <v>-0.24744851700000001</v>
      </c>
      <c r="D252" s="96">
        <v>0.12944030000000001</v>
      </c>
      <c r="E252" s="7">
        <v>0</v>
      </c>
    </row>
    <row r="253" spans="2:5" x14ac:dyDescent="0.25">
      <c r="B253" s="7">
        <v>65.5</v>
      </c>
      <c r="C253" s="96">
        <v>-0.25189640099999999</v>
      </c>
      <c r="D253" s="96">
        <v>0.13145999999999999</v>
      </c>
      <c r="E253" s="7">
        <v>0</v>
      </c>
    </row>
    <row r="254" spans="2:5" x14ac:dyDescent="0.25">
      <c r="B254" s="7">
        <v>65.75</v>
      </c>
      <c r="C254" s="96">
        <v>-0.25634462200000002</v>
      </c>
      <c r="D254" s="96">
        <v>0.13347829999999999</v>
      </c>
      <c r="E254" s="7">
        <v>0</v>
      </c>
    </row>
    <row r="255" spans="2:5" x14ac:dyDescent="0.25">
      <c r="B255" s="7">
        <v>66</v>
      </c>
      <c r="C255" s="96">
        <v>-0.26079270500000001</v>
      </c>
      <c r="D255" s="96">
        <v>0.13549520000000001</v>
      </c>
      <c r="E255" s="7">
        <v>0</v>
      </c>
    </row>
    <row r="256" spans="2:5" x14ac:dyDescent="0.25">
      <c r="B256" s="7">
        <v>66.25</v>
      </c>
      <c r="C256" s="96">
        <v>-0.26524018799999999</v>
      </c>
      <c r="D256" s="96">
        <v>0.1375104</v>
      </c>
      <c r="E256" s="7">
        <v>0</v>
      </c>
    </row>
    <row r="257" spans="2:5" x14ac:dyDescent="0.25">
      <c r="B257" s="7">
        <v>66.5</v>
      </c>
      <c r="C257" s="96">
        <v>-0.26968661700000002</v>
      </c>
      <c r="D257" s="96">
        <v>0.13952390000000001</v>
      </c>
      <c r="E257" s="7">
        <v>0</v>
      </c>
    </row>
    <row r="258" spans="2:5" x14ac:dyDescent="0.25">
      <c r="B258" s="7">
        <v>66.75</v>
      </c>
      <c r="C258" s="96">
        <v>-0.27413155</v>
      </c>
      <c r="D258" s="96">
        <v>0.14153550000000001</v>
      </c>
      <c r="E258" s="7">
        <v>0</v>
      </c>
    </row>
    <row r="259" spans="2:5" x14ac:dyDescent="0.25">
      <c r="B259" s="7">
        <v>67</v>
      </c>
      <c r="C259" s="96">
        <v>-0.278574555</v>
      </c>
      <c r="D259" s="96">
        <v>0.14354520000000001</v>
      </c>
      <c r="E259" s="7">
        <v>0</v>
      </c>
    </row>
    <row r="260" spans="2:5" x14ac:dyDescent="0.25">
      <c r="B260" s="7">
        <v>67.25</v>
      </c>
      <c r="C260" s="96">
        <v>-0.28301520699999999</v>
      </c>
      <c r="D260" s="96">
        <v>0.14555270000000001</v>
      </c>
      <c r="E260" s="7">
        <v>0</v>
      </c>
    </row>
    <row r="261" spans="2:5" x14ac:dyDescent="0.25">
      <c r="B261" s="7">
        <v>67.5</v>
      </c>
      <c r="C261" s="96">
        <v>-0.28745309299999999</v>
      </c>
      <c r="D261" s="96">
        <v>0.1475581</v>
      </c>
      <c r="E261" s="7">
        <v>0</v>
      </c>
    </row>
    <row r="262" spans="2:5" x14ac:dyDescent="0.25">
      <c r="B262" s="7">
        <v>67.75</v>
      </c>
      <c r="C262" s="96">
        <v>-0.291887807</v>
      </c>
      <c r="D262" s="96">
        <v>0.14956120000000001</v>
      </c>
      <c r="E262" s="7">
        <v>0</v>
      </c>
    </row>
    <row r="263" spans="2:5" x14ac:dyDescent="0.25">
      <c r="B263" s="7">
        <v>68</v>
      </c>
      <c r="C263" s="96">
        <v>-0.29631895400000002</v>
      </c>
      <c r="D263" s="96">
        <v>0.1515619</v>
      </c>
      <c r="E263" s="7">
        <v>0</v>
      </c>
    </row>
    <row r="264" spans="2:5" x14ac:dyDescent="0.25">
      <c r="B264" s="7">
        <v>68.25</v>
      </c>
      <c r="C264" s="96">
        <v>-0.30074617599999998</v>
      </c>
      <c r="D264" s="96">
        <v>0.15356</v>
      </c>
      <c r="E264" s="7">
        <v>0</v>
      </c>
    </row>
    <row r="265" spans="2:5" x14ac:dyDescent="0.25">
      <c r="B265" s="7">
        <v>68.5</v>
      </c>
      <c r="C265" s="96">
        <v>-0.30516922000000002</v>
      </c>
      <c r="D265" s="96">
        <v>0.15555559999999999</v>
      </c>
      <c r="E265" s="7">
        <v>0</v>
      </c>
    </row>
    <row r="266" spans="2:5" x14ac:dyDescent="0.25">
      <c r="B266" s="7">
        <v>68.75</v>
      </c>
      <c r="C266" s="96">
        <v>-0.30958785500000002</v>
      </c>
      <c r="D266" s="96">
        <v>0.15754850000000001</v>
      </c>
      <c r="E266" s="7">
        <v>0</v>
      </c>
    </row>
    <row r="267" spans="2:5" x14ac:dyDescent="0.25">
      <c r="B267" s="7">
        <v>69</v>
      </c>
      <c r="C267" s="96">
        <v>-0.31400185600000002</v>
      </c>
      <c r="D267" s="96">
        <v>0.15953870000000001</v>
      </c>
      <c r="E267" s="7">
        <v>0</v>
      </c>
    </row>
    <row r="268" spans="2:5" x14ac:dyDescent="0.25">
      <c r="B268" s="7">
        <v>69.25</v>
      </c>
      <c r="C268" s="96">
        <v>-0.318411002</v>
      </c>
      <c r="D268" s="96">
        <v>0.16152610000000001</v>
      </c>
      <c r="E268" s="7">
        <v>0</v>
      </c>
    </row>
    <row r="269" spans="2:5" x14ac:dyDescent="0.25">
      <c r="B269" s="7">
        <v>69.5</v>
      </c>
      <c r="C269" s="96">
        <v>-0.32281507999999998</v>
      </c>
      <c r="D269" s="96">
        <v>0.1635105</v>
      </c>
      <c r="E269" s="7">
        <v>0</v>
      </c>
    </row>
    <row r="270" spans="2:5" x14ac:dyDescent="0.25">
      <c r="B270" s="7">
        <v>69.75</v>
      </c>
      <c r="C270" s="96">
        <v>-0.32721387800000001</v>
      </c>
      <c r="D270" s="96">
        <v>0.165492</v>
      </c>
      <c r="E270" s="7">
        <v>0</v>
      </c>
    </row>
    <row r="271" spans="2:5" x14ac:dyDescent="0.25">
      <c r="B271" s="7">
        <v>70</v>
      </c>
      <c r="C271" s="96">
        <v>-0.331607192</v>
      </c>
      <c r="D271" s="96">
        <v>0.16747049999999999</v>
      </c>
      <c r="E271" s="7">
        <v>0</v>
      </c>
    </row>
    <row r="272" spans="2:5" x14ac:dyDescent="0.25">
      <c r="B272" s="7">
        <v>70.25</v>
      </c>
      <c r="C272" s="96">
        <v>-0.335994821</v>
      </c>
      <c r="D272" s="96">
        <v>0.16944590000000001</v>
      </c>
      <c r="E272" s="7">
        <v>0</v>
      </c>
    </row>
    <row r="273" spans="2:5" x14ac:dyDescent="0.25">
      <c r="B273" s="7">
        <v>70.5</v>
      </c>
      <c r="C273" s="96">
        <v>-0.34037656799999999</v>
      </c>
      <c r="D273" s="96">
        <v>0.17141809999999999</v>
      </c>
      <c r="E273" s="7">
        <v>0</v>
      </c>
    </row>
    <row r="274" spans="2:5" x14ac:dyDescent="0.25">
      <c r="B274" s="7">
        <v>70.75</v>
      </c>
      <c r="C274" s="96">
        <v>-0.34475224300000001</v>
      </c>
      <c r="D274" s="96">
        <v>0.17338709999999999</v>
      </c>
      <c r="E274" s="7">
        <v>0</v>
      </c>
    </row>
    <row r="275" spans="2:5" x14ac:dyDescent="0.25">
      <c r="B275" s="7">
        <v>71</v>
      </c>
      <c r="C275" s="96">
        <v>-0.349121656</v>
      </c>
      <c r="D275" s="96">
        <v>0.1753527</v>
      </c>
      <c r="E275" s="7">
        <v>0</v>
      </c>
    </row>
    <row r="276" spans="2:5" x14ac:dyDescent="0.25">
      <c r="B276" s="7">
        <v>71.25</v>
      </c>
      <c r="C276" s="96">
        <v>-0.35348462600000002</v>
      </c>
      <c r="D276" s="96">
        <v>0.177315</v>
      </c>
      <c r="E276" s="7">
        <v>0</v>
      </c>
    </row>
    <row r="277" spans="2:5" x14ac:dyDescent="0.25">
      <c r="B277" s="7">
        <v>71.5</v>
      </c>
      <c r="C277" s="96">
        <v>-0.35784097399999998</v>
      </c>
      <c r="D277" s="96">
        <v>0.17927390000000001</v>
      </c>
      <c r="E277" s="7">
        <v>0</v>
      </c>
    </row>
    <row r="278" spans="2:5" x14ac:dyDescent="0.25">
      <c r="B278" s="7">
        <v>71.75</v>
      </c>
      <c r="C278" s="96">
        <v>-0.36219052499999999</v>
      </c>
      <c r="D278" s="96">
        <v>0.18122930000000001</v>
      </c>
      <c r="E278" s="7">
        <v>0</v>
      </c>
    </row>
    <row r="279" spans="2:5" x14ac:dyDescent="0.25">
      <c r="B279" s="7">
        <v>72</v>
      </c>
      <c r="C279" s="96">
        <v>-0.366533108</v>
      </c>
      <c r="D279" s="96">
        <v>0.18318119999999999</v>
      </c>
      <c r="E279" s="7">
        <v>0</v>
      </c>
    </row>
    <row r="280" spans="2:5" x14ac:dyDescent="0.25">
      <c r="B280" s="7">
        <v>72.25</v>
      </c>
      <c r="C280" s="96">
        <v>-0.37086855600000002</v>
      </c>
      <c r="D280" s="96">
        <v>0.1851295</v>
      </c>
      <c r="E280" s="7">
        <v>0</v>
      </c>
    </row>
    <row r="281" spans="2:5" x14ac:dyDescent="0.25">
      <c r="B281" s="7">
        <v>72.5</v>
      </c>
      <c r="C281" s="96">
        <v>-0.37519670700000002</v>
      </c>
      <c r="D281" s="96">
        <v>0.18707409999999999</v>
      </c>
      <c r="E281" s="7">
        <v>0</v>
      </c>
    </row>
    <row r="282" spans="2:5" x14ac:dyDescent="0.25">
      <c r="B282" s="7">
        <v>72.75</v>
      </c>
      <c r="C282" s="96">
        <v>-0.37951740099999998</v>
      </c>
      <c r="D282" s="96">
        <v>0.18901499999999999</v>
      </c>
      <c r="E282" s="7">
        <v>0</v>
      </c>
    </row>
    <row r="283" spans="2:5" x14ac:dyDescent="0.25">
      <c r="B283" s="7">
        <v>73</v>
      </c>
      <c r="C283" s="96">
        <v>-0.38383048199999997</v>
      </c>
      <c r="D283" s="96">
        <v>0.19095219999999999</v>
      </c>
      <c r="E283" s="7">
        <v>0</v>
      </c>
    </row>
    <row r="284" spans="2:5" x14ac:dyDescent="0.25">
      <c r="B284" s="7">
        <v>73.25</v>
      </c>
      <c r="C284" s="96">
        <v>-0.38813579999999998</v>
      </c>
      <c r="D284" s="96">
        <v>0.19288549999999999</v>
      </c>
      <c r="E284" s="7">
        <v>0</v>
      </c>
    </row>
    <row r="285" spans="2:5" x14ac:dyDescent="0.25">
      <c r="B285" s="7">
        <v>73.5</v>
      </c>
      <c r="C285" s="96">
        <v>-0.39243320500000001</v>
      </c>
      <c r="D285" s="96">
        <v>0.19481499999999999</v>
      </c>
      <c r="E285" s="7">
        <v>0</v>
      </c>
    </row>
    <row r="286" spans="2:5" x14ac:dyDescent="0.25">
      <c r="B286" s="7">
        <v>73.75</v>
      </c>
      <c r="C286" s="96">
        <v>-0.39672255299999998</v>
      </c>
      <c r="D286" s="96">
        <v>0.19674059999999999</v>
      </c>
      <c r="E286" s="7">
        <v>0</v>
      </c>
    </row>
    <row r="287" spans="2:5" x14ac:dyDescent="0.25">
      <c r="B287" s="7">
        <v>74</v>
      </c>
      <c r="C287" s="96">
        <v>-0.40100370299999999</v>
      </c>
      <c r="D287" s="96">
        <v>0.19866220000000001</v>
      </c>
      <c r="E287" s="7">
        <v>0</v>
      </c>
    </row>
    <row r="288" spans="2:5" x14ac:dyDescent="0.25">
      <c r="B288" s="7">
        <v>74.25</v>
      </c>
      <c r="C288" s="96">
        <v>-0.40527651599999998</v>
      </c>
      <c r="D288" s="96">
        <v>0.20057990000000001</v>
      </c>
      <c r="E288" s="7">
        <v>0</v>
      </c>
    </row>
    <row r="289" spans="2:5" x14ac:dyDescent="0.25">
      <c r="B289" s="7">
        <v>74.5</v>
      </c>
      <c r="C289" s="96">
        <v>-0.40954085699999998</v>
      </c>
      <c r="D289" s="96">
        <v>0.20249349999999999</v>
      </c>
      <c r="E289" s="7">
        <v>0</v>
      </c>
    </row>
    <row r="290" spans="2:5" x14ac:dyDescent="0.25">
      <c r="B290" s="7">
        <v>74.75</v>
      </c>
      <c r="C290" s="96">
        <v>-0.41379659499999999</v>
      </c>
      <c r="D290" s="96">
        <v>0.204403</v>
      </c>
      <c r="E290" s="7">
        <v>0</v>
      </c>
    </row>
    <row r="291" spans="2:5" x14ac:dyDescent="0.25">
      <c r="B291" s="7">
        <v>75</v>
      </c>
      <c r="C291" s="96">
        <v>-0.41804360200000001</v>
      </c>
      <c r="D291" s="96">
        <v>0.2063083</v>
      </c>
      <c r="E291" s="7">
        <v>0</v>
      </c>
    </row>
    <row r="292" spans="2:5" x14ac:dyDescent="0.25">
      <c r="B292" s="7">
        <v>75.25</v>
      </c>
      <c r="C292" s="96">
        <v>-0.42228175200000001</v>
      </c>
      <c r="D292" s="96">
        <v>0.20820949999999999</v>
      </c>
      <c r="E292" s="7">
        <v>0</v>
      </c>
    </row>
    <row r="293" spans="2:5" x14ac:dyDescent="0.25">
      <c r="B293" s="7">
        <v>75.5</v>
      </c>
      <c r="C293" s="96">
        <v>-0.42651092200000001</v>
      </c>
      <c r="D293" s="96">
        <v>0.2101065</v>
      </c>
      <c r="E293" s="7">
        <v>0</v>
      </c>
    </row>
    <row r="294" spans="2:5" x14ac:dyDescent="0.25">
      <c r="B294" s="7">
        <v>75.75</v>
      </c>
      <c r="C294" s="96">
        <v>-0.43073099399999998</v>
      </c>
      <c r="D294" s="96">
        <v>0.2119993</v>
      </c>
      <c r="E294" s="7">
        <v>0</v>
      </c>
    </row>
    <row r="295" spans="2:5" x14ac:dyDescent="0.25">
      <c r="B295" s="7">
        <v>76</v>
      </c>
      <c r="C295" s="96">
        <v>-0.43494185000000002</v>
      </c>
      <c r="D295" s="96">
        <v>0.21388769999999999</v>
      </c>
      <c r="E295" s="7">
        <v>0</v>
      </c>
    </row>
    <row r="296" spans="2:5" x14ac:dyDescent="0.25">
      <c r="B296" s="7">
        <v>76.25</v>
      </c>
      <c r="C296" s="96">
        <v>-0.439143377</v>
      </c>
      <c r="D296" s="96">
        <v>0.21577180000000001</v>
      </c>
      <c r="E296" s="7">
        <v>0</v>
      </c>
    </row>
    <row r="297" spans="2:5" x14ac:dyDescent="0.25">
      <c r="B297" s="7">
        <v>76.5</v>
      </c>
      <c r="C297" s="96">
        <v>-0.44333546299999999</v>
      </c>
      <c r="D297" s="96">
        <v>0.2176516</v>
      </c>
      <c r="E297" s="7">
        <v>0</v>
      </c>
    </row>
    <row r="298" spans="2:5" x14ac:dyDescent="0.25">
      <c r="B298" s="7">
        <v>76.75</v>
      </c>
      <c r="C298" s="96">
        <v>-0.44751800200000003</v>
      </c>
      <c r="D298" s="96">
        <v>0.2195269</v>
      </c>
      <c r="E298" s="7">
        <v>0</v>
      </c>
    </row>
    <row r="299" spans="2:5" x14ac:dyDescent="0.25">
      <c r="B299" s="7">
        <v>77</v>
      </c>
      <c r="C299" s="96">
        <v>-0.45169088699999999</v>
      </c>
      <c r="D299" s="96">
        <v>0.22139790000000001</v>
      </c>
      <c r="E299" s="7">
        <v>0</v>
      </c>
    </row>
    <row r="300" spans="2:5" x14ac:dyDescent="0.25">
      <c r="B300" s="7">
        <v>77.25</v>
      </c>
      <c r="C300" s="96">
        <v>-0.45585401399999997</v>
      </c>
      <c r="D300" s="96">
        <v>0.2232643</v>
      </c>
      <c r="E300" s="7">
        <v>0</v>
      </c>
    </row>
    <row r="301" spans="2:5" x14ac:dyDescent="0.25">
      <c r="B301" s="7">
        <v>77.5</v>
      </c>
      <c r="C301" s="96">
        <v>-0.46000728499999999</v>
      </c>
      <c r="D301" s="96">
        <v>0.2251263</v>
      </c>
      <c r="E301" s="7">
        <v>0</v>
      </c>
    </row>
    <row r="302" spans="2:5" x14ac:dyDescent="0.25">
      <c r="B302" s="7">
        <v>77.75</v>
      </c>
      <c r="C302" s="96">
        <v>-0.46415060000000002</v>
      </c>
      <c r="D302" s="96">
        <v>0.22698370000000001</v>
      </c>
      <c r="E302" s="7">
        <v>0</v>
      </c>
    </row>
    <row r="303" spans="2:5" x14ac:dyDescent="0.25">
      <c r="B303" s="7">
        <v>78</v>
      </c>
      <c r="C303" s="96">
        <v>-0.46828386500000002</v>
      </c>
      <c r="D303" s="96">
        <v>0.2288365</v>
      </c>
      <c r="E303" s="7">
        <v>0</v>
      </c>
    </row>
    <row r="304" spans="2:5" x14ac:dyDescent="0.25">
      <c r="B304" s="7">
        <v>78.25</v>
      </c>
      <c r="C304" s="96">
        <v>-0.47240698599999997</v>
      </c>
      <c r="D304" s="96">
        <v>0.2306848</v>
      </c>
      <c r="E304" s="7">
        <v>0</v>
      </c>
    </row>
    <row r="305" spans="2:5" x14ac:dyDescent="0.25">
      <c r="B305" s="7">
        <v>78.5</v>
      </c>
      <c r="C305" s="96">
        <v>-0.47651987299999998</v>
      </c>
      <c r="D305" s="96">
        <v>0.2325284</v>
      </c>
      <c r="E305" s="7">
        <v>0</v>
      </c>
    </row>
    <row r="306" spans="2:5" x14ac:dyDescent="0.25">
      <c r="B306" s="7">
        <v>78.75</v>
      </c>
      <c r="C306" s="96">
        <v>-0.48062243700000001</v>
      </c>
      <c r="D306" s="96">
        <v>0.2343674</v>
      </c>
      <c r="E306" s="7">
        <v>0</v>
      </c>
    </row>
    <row r="307" spans="2:5" x14ac:dyDescent="0.25">
      <c r="B307" s="7">
        <v>79</v>
      </c>
      <c r="C307" s="96">
        <v>-0.48471459300000003</v>
      </c>
      <c r="D307" s="96">
        <v>0.23620169999999999</v>
      </c>
      <c r="E307" s="7">
        <v>0</v>
      </c>
    </row>
    <row r="308" spans="2:5" x14ac:dyDescent="0.25">
      <c r="B308" s="7">
        <v>79.25</v>
      </c>
      <c r="C308" s="96">
        <v>-0.48879625599999998</v>
      </c>
      <c r="D308" s="96">
        <v>0.2380313</v>
      </c>
      <c r="E308" s="7">
        <v>0</v>
      </c>
    </row>
    <row r="309" spans="2:5" x14ac:dyDescent="0.25">
      <c r="B309" s="7">
        <v>79.5</v>
      </c>
      <c r="C309" s="96">
        <v>-0.49286734399999999</v>
      </c>
      <c r="D309" s="96">
        <v>0.23985619999999999</v>
      </c>
      <c r="E309" s="7">
        <v>0</v>
      </c>
    </row>
    <row r="310" spans="2:5" x14ac:dyDescent="0.25">
      <c r="B310" s="7">
        <v>79.75</v>
      </c>
      <c r="C310" s="96">
        <v>-0.49692777900000001</v>
      </c>
      <c r="D310" s="96">
        <v>0.24167630000000001</v>
      </c>
      <c r="E310" s="7">
        <v>0</v>
      </c>
    </row>
    <row r="311" spans="2:5" x14ac:dyDescent="0.25">
      <c r="B311" s="7">
        <v>80</v>
      </c>
      <c r="C311" s="96">
        <v>-0.50097748200000003</v>
      </c>
      <c r="D311" s="96">
        <v>0.2434916</v>
      </c>
      <c r="E311" s="7">
        <v>0</v>
      </c>
    </row>
    <row r="312" spans="2:5" x14ac:dyDescent="0.25">
      <c r="B312" s="7">
        <v>80.25</v>
      </c>
      <c r="C312" s="96">
        <v>-0.50501637899999996</v>
      </c>
      <c r="D312" s="96">
        <v>0.2453021</v>
      </c>
      <c r="E312" s="7">
        <v>0</v>
      </c>
    </row>
    <row r="313" spans="2:5" x14ac:dyDescent="0.25">
      <c r="B313" s="7">
        <v>80.5</v>
      </c>
      <c r="C313" s="96">
        <v>-0.50904439499999998</v>
      </c>
      <c r="D313" s="96">
        <v>0.24710779999999999</v>
      </c>
      <c r="E313" s="7">
        <v>0</v>
      </c>
    </row>
    <row r="314" spans="2:5" x14ac:dyDescent="0.25">
      <c r="B314" s="7">
        <v>80.75</v>
      </c>
      <c r="C314" s="96">
        <v>-0.51306145999999997</v>
      </c>
      <c r="D314" s="96">
        <v>0.24890870000000001</v>
      </c>
      <c r="E314" s="7">
        <v>0</v>
      </c>
    </row>
    <row r="315" spans="2:5" x14ac:dyDescent="0.25">
      <c r="B315" s="7">
        <v>81</v>
      </c>
      <c r="C315" s="96">
        <v>-0.51706750400000001</v>
      </c>
      <c r="D315" s="96">
        <v>0.2507047</v>
      </c>
      <c r="E315" s="7">
        <v>0</v>
      </c>
    </row>
    <row r="316" spans="2:5" x14ac:dyDescent="0.25">
      <c r="B316" s="7">
        <v>81.25</v>
      </c>
      <c r="C316" s="96">
        <v>-0.52106245900000003</v>
      </c>
      <c r="D316" s="96">
        <v>0.25249569999999999</v>
      </c>
      <c r="E316" s="7">
        <v>0</v>
      </c>
    </row>
    <row r="317" spans="2:5" x14ac:dyDescent="0.25">
      <c r="B317" s="7">
        <v>81.5</v>
      </c>
      <c r="C317" s="96">
        <v>-0.52504625900000002</v>
      </c>
      <c r="D317" s="96">
        <v>0.25428190000000001</v>
      </c>
      <c r="E317" s="7">
        <v>0</v>
      </c>
    </row>
    <row r="318" spans="2:5" x14ac:dyDescent="0.25">
      <c r="B318" s="7">
        <v>81.75</v>
      </c>
      <c r="C318" s="96">
        <v>-0.52901884200000004</v>
      </c>
      <c r="D318" s="96">
        <v>0.25606309999999999</v>
      </c>
      <c r="E318" s="7">
        <v>0</v>
      </c>
    </row>
    <row r="319" spans="2:5" x14ac:dyDescent="0.25">
      <c r="B319" s="7">
        <v>82</v>
      </c>
      <c r="C319" s="96">
        <v>-0.53298014800000004</v>
      </c>
      <c r="D319" s="96">
        <v>0.2578394</v>
      </c>
      <c r="E319" s="7">
        <v>0</v>
      </c>
    </row>
    <row r="320" spans="2:5" x14ac:dyDescent="0.25">
      <c r="B320" s="7">
        <v>82.25</v>
      </c>
      <c r="C320" s="96">
        <v>-0.536930189</v>
      </c>
      <c r="D320" s="96">
        <v>0.25961070000000003</v>
      </c>
      <c r="E320" s="7">
        <v>0</v>
      </c>
    </row>
    <row r="321" spans="2:5" x14ac:dyDescent="0.25">
      <c r="B321" s="7">
        <v>82.5</v>
      </c>
      <c r="C321" s="96">
        <v>-0.54086901399999998</v>
      </c>
      <c r="D321" s="96">
        <v>0.26137709999999997</v>
      </c>
      <c r="E321" s="7">
        <v>0</v>
      </c>
    </row>
    <row r="322" spans="2:5" x14ac:dyDescent="0.25">
      <c r="B322" s="7">
        <v>82.75</v>
      </c>
      <c r="C322" s="96">
        <v>-0.54479667799999998</v>
      </c>
      <c r="D322" s="96">
        <v>0.2631386</v>
      </c>
      <c r="E322" s="7">
        <v>0</v>
      </c>
    </row>
    <row r="323" spans="2:5" x14ac:dyDescent="0.25">
      <c r="B323" s="7">
        <v>83</v>
      </c>
      <c r="C323" s="96">
        <v>-0.54871323100000002</v>
      </c>
      <c r="D323" s="96">
        <v>0.2648953</v>
      </c>
      <c r="E323" s="7">
        <v>0</v>
      </c>
    </row>
    <row r="324" spans="2:5" x14ac:dyDescent="0.25">
      <c r="B324" s="7">
        <v>83.25</v>
      </c>
      <c r="C324" s="96">
        <v>-0.55261872599999995</v>
      </c>
      <c r="D324" s="96">
        <v>0.26664700000000002</v>
      </c>
      <c r="E324" s="7">
        <v>0</v>
      </c>
    </row>
    <row r="325" spans="2:5" x14ac:dyDescent="0.25">
      <c r="B325" s="7">
        <v>83.5</v>
      </c>
      <c r="C325" s="96">
        <v>-0.55651321499999995</v>
      </c>
      <c r="D325" s="96">
        <v>0.26839390000000002</v>
      </c>
      <c r="E325" s="7">
        <v>0</v>
      </c>
    </row>
    <row r="326" spans="2:5" x14ac:dyDescent="0.25">
      <c r="B326" s="7">
        <v>83.75</v>
      </c>
      <c r="C326" s="96">
        <v>-0.56039674799999994</v>
      </c>
      <c r="D326" s="96">
        <v>0.27013599999999999</v>
      </c>
      <c r="E326" s="7">
        <v>0</v>
      </c>
    </row>
    <row r="327" spans="2:5" x14ac:dyDescent="0.25">
      <c r="B327" s="7">
        <v>84</v>
      </c>
      <c r="C327" s="96">
        <v>-0.56426937700000002</v>
      </c>
      <c r="D327" s="96">
        <v>0.27187329999999998</v>
      </c>
      <c r="E327" s="7">
        <v>0</v>
      </c>
    </row>
    <row r="328" spans="2:5" x14ac:dyDescent="0.25">
      <c r="B328" s="7">
        <v>84.25</v>
      </c>
      <c r="C328" s="96">
        <v>-0.568131151</v>
      </c>
      <c r="D328" s="96">
        <v>0.27360590000000001</v>
      </c>
      <c r="E328" s="7">
        <v>0</v>
      </c>
    </row>
    <row r="329" spans="2:5" x14ac:dyDescent="0.25">
      <c r="B329" s="7">
        <v>84.5</v>
      </c>
      <c r="C329" s="96">
        <v>-0.57198212100000001</v>
      </c>
      <c r="D329" s="96">
        <v>0.27533360000000001</v>
      </c>
      <c r="E329" s="7">
        <v>0</v>
      </c>
    </row>
    <row r="330" spans="2:5" x14ac:dyDescent="0.25">
      <c r="B330" s="7">
        <v>84.75</v>
      </c>
      <c r="C330" s="96">
        <v>-0.57582233800000004</v>
      </c>
      <c r="D330" s="96">
        <v>0.27705659999999999</v>
      </c>
      <c r="E330" s="7">
        <v>0</v>
      </c>
    </row>
    <row r="331" spans="2:5" x14ac:dyDescent="0.25">
      <c r="B331" s="7">
        <v>85</v>
      </c>
      <c r="C331" s="96">
        <v>-0.579651849</v>
      </c>
      <c r="D331" s="96">
        <v>0.27877489999999999</v>
      </c>
      <c r="E331" s="7">
        <v>0</v>
      </c>
    </row>
    <row r="332" spans="2:5" x14ac:dyDescent="0.25">
      <c r="B332" s="7">
        <v>85.25</v>
      </c>
      <c r="C332" s="96">
        <v>-0.58347070499999998</v>
      </c>
      <c r="D332" s="96">
        <v>0.28048849999999997</v>
      </c>
      <c r="E332" s="7">
        <v>0</v>
      </c>
    </row>
    <row r="333" spans="2:5" x14ac:dyDescent="0.25">
      <c r="B333" s="7">
        <v>85.5</v>
      </c>
      <c r="C333" s="96">
        <v>-0.58727895500000005</v>
      </c>
      <c r="D333" s="96">
        <v>0.28219739999999999</v>
      </c>
      <c r="E333" s="7">
        <v>0</v>
      </c>
    </row>
    <row r="334" spans="2:5" x14ac:dyDescent="0.25">
      <c r="B334" s="7">
        <v>85.75</v>
      </c>
      <c r="C334" s="96">
        <v>-0.59107664599999998</v>
      </c>
      <c r="D334" s="96">
        <v>0.28390169999999998</v>
      </c>
      <c r="E334" s="7">
        <v>0</v>
      </c>
    </row>
    <row r="335" spans="2:5" x14ac:dyDescent="0.25">
      <c r="B335" s="7">
        <v>86</v>
      </c>
      <c r="C335" s="96">
        <v>-0.59486382800000004</v>
      </c>
      <c r="D335" s="96">
        <v>0.2856013</v>
      </c>
      <c r="E335" s="7">
        <v>0</v>
      </c>
    </row>
    <row r="336" spans="2:5" x14ac:dyDescent="0.25">
      <c r="B336" s="7">
        <v>86.25</v>
      </c>
      <c r="C336" s="96">
        <v>-0.59864054799999999</v>
      </c>
      <c r="D336" s="96">
        <v>0.2872963</v>
      </c>
      <c r="E336" s="7">
        <v>0</v>
      </c>
    </row>
    <row r="337" spans="2:5" x14ac:dyDescent="0.25">
      <c r="B337" s="7">
        <v>86.5</v>
      </c>
      <c r="C337" s="96">
        <v>-0.60240685299999996</v>
      </c>
      <c r="D337" s="96">
        <v>0.28898669999999999</v>
      </c>
      <c r="E337" s="7">
        <v>0</v>
      </c>
    </row>
    <row r="338" spans="2:5" x14ac:dyDescent="0.25">
      <c r="B338" s="7">
        <v>86.75</v>
      </c>
      <c r="C338" s="96">
        <v>-0.60616279200000001</v>
      </c>
      <c r="D338" s="96">
        <v>0.2906725</v>
      </c>
      <c r="E338" s="7">
        <v>0</v>
      </c>
    </row>
    <row r="339" spans="2:5" x14ac:dyDescent="0.25">
      <c r="B339" s="7">
        <v>87</v>
      </c>
      <c r="C339" s="96">
        <v>-0.60990841100000004</v>
      </c>
      <c r="D339" s="96">
        <v>0.29235369999999999</v>
      </c>
      <c r="E339" s="7">
        <v>0</v>
      </c>
    </row>
    <row r="340" spans="2:5" x14ac:dyDescent="0.25">
      <c r="B340" s="7">
        <v>87.25</v>
      </c>
      <c r="C340" s="96">
        <v>-0.61364375699999996</v>
      </c>
      <c r="D340" s="96">
        <v>0.29403040000000003</v>
      </c>
      <c r="E340" s="7">
        <v>0</v>
      </c>
    </row>
    <row r="341" spans="2:5" x14ac:dyDescent="0.25">
      <c r="B341" s="7">
        <v>87.5</v>
      </c>
      <c r="C341" s="96">
        <v>-0.61736887600000001</v>
      </c>
      <c r="D341" s="96">
        <v>0.29570259999999998</v>
      </c>
      <c r="E341" s="7">
        <v>0</v>
      </c>
    </row>
    <row r="342" spans="2:5" x14ac:dyDescent="0.25">
      <c r="B342" s="7">
        <v>87.75</v>
      </c>
      <c r="C342" s="96">
        <v>-0.62108381499999998</v>
      </c>
      <c r="D342" s="96">
        <v>0.29737019999999997</v>
      </c>
      <c r="E342" s="7">
        <v>0</v>
      </c>
    </row>
    <row r="343" spans="2:5" x14ac:dyDescent="0.25">
      <c r="B343" s="7">
        <v>88</v>
      </c>
      <c r="C343" s="96">
        <v>-0.62478861900000005</v>
      </c>
      <c r="D343" s="96">
        <v>0.2990334</v>
      </c>
      <c r="E343" s="7">
        <v>0</v>
      </c>
    </row>
    <row r="344" spans="2:5" x14ac:dyDescent="0.25">
      <c r="B344" s="7">
        <v>88.25</v>
      </c>
      <c r="C344" s="96">
        <v>-0.628483334</v>
      </c>
      <c r="D344" s="96">
        <v>0.30069210000000002</v>
      </c>
      <c r="E344" s="7">
        <v>0</v>
      </c>
    </row>
    <row r="345" spans="2:5" x14ac:dyDescent="0.25">
      <c r="B345" s="7">
        <v>88.5</v>
      </c>
      <c r="C345" s="96">
        <v>-0.63216800500000003</v>
      </c>
      <c r="D345" s="96">
        <v>0.30234630000000001</v>
      </c>
      <c r="E345" s="7">
        <v>0</v>
      </c>
    </row>
    <row r="346" spans="2:5" x14ac:dyDescent="0.25">
      <c r="B346" s="7">
        <v>88.75</v>
      </c>
      <c r="C346" s="96">
        <v>-0.63584267699999997</v>
      </c>
      <c r="D346" s="96">
        <v>0.30399619999999999</v>
      </c>
      <c r="E346" s="7">
        <v>0</v>
      </c>
    </row>
    <row r="347" spans="2:5" x14ac:dyDescent="0.25">
      <c r="B347" s="7">
        <v>89</v>
      </c>
      <c r="C347" s="96">
        <v>-0.63950739400000001</v>
      </c>
      <c r="D347" s="96">
        <v>0.30564160000000001</v>
      </c>
      <c r="E347" s="7">
        <v>0</v>
      </c>
    </row>
    <row r="348" spans="2:5" x14ac:dyDescent="0.25">
      <c r="B348" s="7">
        <v>89.25</v>
      </c>
      <c r="C348" s="96">
        <v>-0.64316220199999996</v>
      </c>
      <c r="D348" s="96">
        <v>0.30728260000000002</v>
      </c>
      <c r="E348" s="7">
        <v>0</v>
      </c>
    </row>
    <row r="349" spans="2:5" x14ac:dyDescent="0.25">
      <c r="B349" s="7">
        <v>89.5</v>
      </c>
      <c r="C349" s="96">
        <v>-0.64680714399999995</v>
      </c>
      <c r="D349" s="96">
        <v>0.3089192</v>
      </c>
      <c r="E349" s="7">
        <v>0</v>
      </c>
    </row>
    <row r="350" spans="2:5" x14ac:dyDescent="0.25">
      <c r="B350" s="7">
        <v>89.75</v>
      </c>
      <c r="C350" s="96">
        <v>-0.65044226500000002</v>
      </c>
      <c r="D350" s="96">
        <v>0.31055139999999998</v>
      </c>
      <c r="E350" s="7">
        <v>0</v>
      </c>
    </row>
    <row r="351" spans="2:5" x14ac:dyDescent="0.25">
      <c r="B351" s="7">
        <v>90</v>
      </c>
      <c r="C351" s="96">
        <v>-0.654067607</v>
      </c>
      <c r="D351" s="96">
        <v>0.3121794</v>
      </c>
      <c r="E351" s="7">
        <v>0</v>
      </c>
    </row>
    <row r="352" spans="2:5" x14ac:dyDescent="0.25">
      <c r="B352" s="7"/>
      <c r="C352" s="96"/>
      <c r="D352" s="96"/>
      <c r="E352" s="7"/>
    </row>
    <row r="353" spans="2:5" x14ac:dyDescent="0.25">
      <c r="B353" s="7"/>
      <c r="C353" s="96"/>
      <c r="D353" s="96"/>
      <c r="E353" s="7"/>
    </row>
    <row r="354" spans="2:5" x14ac:dyDescent="0.25">
      <c r="B354" s="7"/>
      <c r="C354" s="96"/>
      <c r="D354" s="96"/>
      <c r="E354" s="7"/>
    </row>
    <row r="355" spans="2:5" x14ac:dyDescent="0.25">
      <c r="B355" s="7"/>
      <c r="C355" s="96"/>
      <c r="D355" s="96"/>
      <c r="E355" s="7"/>
    </row>
    <row r="356" spans="2:5" x14ac:dyDescent="0.25">
      <c r="B356" s="7"/>
      <c r="C356" s="96"/>
      <c r="D356" s="96"/>
      <c r="E356" s="7"/>
    </row>
    <row r="357" spans="2:5" x14ac:dyDescent="0.25">
      <c r="B357" s="7"/>
      <c r="C357" s="96"/>
      <c r="D357" s="96"/>
      <c r="E357" s="7"/>
    </row>
    <row r="358" spans="2:5" x14ac:dyDescent="0.25">
      <c r="B358" s="7"/>
      <c r="C358" s="96"/>
      <c r="D358" s="96"/>
      <c r="E358" s="7"/>
    </row>
    <row r="359" spans="2:5" x14ac:dyDescent="0.25">
      <c r="B359" s="7"/>
      <c r="C359" s="96"/>
      <c r="D359" s="96"/>
      <c r="E359" s="7"/>
    </row>
    <row r="360" spans="2:5" x14ac:dyDescent="0.25">
      <c r="B360" s="7"/>
      <c r="C360" s="96"/>
      <c r="D360" s="96"/>
      <c r="E360" s="7"/>
    </row>
    <row r="361" spans="2:5" x14ac:dyDescent="0.25">
      <c r="B361" s="7"/>
      <c r="C361" s="96"/>
      <c r="D361" s="96"/>
      <c r="E361" s="7"/>
    </row>
    <row r="362" spans="2:5" x14ac:dyDescent="0.25">
      <c r="B362" s="7"/>
      <c r="C362" s="96"/>
      <c r="D362" s="96"/>
      <c r="E362" s="7"/>
    </row>
    <row r="363" spans="2:5" x14ac:dyDescent="0.25">
      <c r="B363" s="7"/>
      <c r="C363" s="96"/>
      <c r="D363" s="96"/>
      <c r="E363" s="7"/>
    </row>
    <row r="364" spans="2:5" x14ac:dyDescent="0.25">
      <c r="B364" s="7"/>
      <c r="C364" s="96"/>
      <c r="D364" s="96"/>
      <c r="E364" s="7"/>
    </row>
    <row r="365" spans="2:5" x14ac:dyDescent="0.25">
      <c r="B365" s="7"/>
      <c r="C365" s="96"/>
      <c r="D365" s="96"/>
      <c r="E365" s="7"/>
    </row>
    <row r="366" spans="2:5" x14ac:dyDescent="0.25">
      <c r="B366" s="7"/>
      <c r="C366" s="96"/>
      <c r="D366" s="96"/>
      <c r="E366" s="7"/>
    </row>
    <row r="367" spans="2:5" x14ac:dyDescent="0.25">
      <c r="B367" s="7"/>
      <c r="C367" s="96"/>
      <c r="D367" s="96"/>
      <c r="E367" s="7"/>
    </row>
    <row r="368" spans="2:5" x14ac:dyDescent="0.25">
      <c r="B368" s="7"/>
      <c r="C368" s="96"/>
      <c r="D368" s="96"/>
      <c r="E368" s="7"/>
    </row>
    <row r="369" spans="2:5" x14ac:dyDescent="0.25">
      <c r="B369" s="7"/>
      <c r="C369" s="96"/>
      <c r="D369" s="96"/>
      <c r="E369" s="7"/>
    </row>
    <row r="370" spans="2:5" x14ac:dyDescent="0.25">
      <c r="B370" s="7"/>
      <c r="C370" s="96"/>
      <c r="D370" s="96"/>
      <c r="E370" s="7"/>
    </row>
    <row r="371" spans="2:5" x14ac:dyDescent="0.25">
      <c r="B371" s="7"/>
      <c r="C371" s="96"/>
      <c r="D371" s="96"/>
      <c r="E371" s="7"/>
    </row>
  </sheetData>
  <mergeCells count="11">
    <mergeCell ref="U3:V3"/>
    <mergeCell ref="X3:Y3"/>
    <mergeCell ref="B1:E1"/>
    <mergeCell ref="G1:O1"/>
    <mergeCell ref="Q1:Y1"/>
    <mergeCell ref="H2:O2"/>
    <mergeCell ref="R2:Y2"/>
    <mergeCell ref="H3:I3"/>
    <mergeCell ref="K3:L3"/>
    <mergeCell ref="N3:O3"/>
    <mergeCell ref="R3:S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3C2D-A83D-4850-9DF8-B3185D37DB89}">
  <dimension ref="B1:Y371"/>
  <sheetViews>
    <sheetView workbookViewId="0">
      <selection activeCell="S17" sqref="S17"/>
    </sheetView>
  </sheetViews>
  <sheetFormatPr defaultColWidth="9.109375" defaultRowHeight="12" x14ac:dyDescent="0.25"/>
  <cols>
    <col min="1" max="2" width="9.109375" style="1"/>
    <col min="3" max="5" width="9.109375" style="89"/>
    <col min="6" max="6" width="9.109375" style="1"/>
    <col min="7" max="7" width="11.6640625" style="1" customWidth="1"/>
    <col min="8" max="8" width="9.109375" style="1"/>
    <col min="9" max="9" width="9.109375" style="89"/>
    <col min="10" max="11" width="9.109375" style="1"/>
    <col min="12" max="12" width="9.109375" style="89"/>
    <col min="13" max="14" width="9.109375" style="1"/>
    <col min="15" max="15" width="9.109375" style="89"/>
    <col min="16" max="16384" width="9.109375" style="1"/>
  </cols>
  <sheetData>
    <row r="1" spans="2:25" ht="15.6" thickTop="1" thickBot="1" x14ac:dyDescent="0.35">
      <c r="B1" s="141" t="s">
        <v>159</v>
      </c>
      <c r="C1" s="142"/>
      <c r="D1" s="142"/>
      <c r="E1" s="143"/>
      <c r="G1" s="141" t="s">
        <v>163</v>
      </c>
      <c r="H1" s="142"/>
      <c r="I1" s="142"/>
      <c r="J1" s="142"/>
      <c r="K1" s="142"/>
      <c r="L1" s="142"/>
      <c r="M1" s="142"/>
      <c r="N1" s="142"/>
      <c r="O1" s="143"/>
      <c r="Q1" s="141" t="s">
        <v>164</v>
      </c>
      <c r="R1" s="142"/>
      <c r="S1" s="142"/>
      <c r="T1" s="142"/>
      <c r="U1" s="142"/>
      <c r="V1" s="142"/>
      <c r="W1" s="142"/>
      <c r="X1" s="142"/>
      <c r="Y1" s="143"/>
    </row>
    <row r="2" spans="2:25" ht="12.6" thickTop="1" x14ac:dyDescent="0.25">
      <c r="B2" s="39" t="s">
        <v>0</v>
      </c>
      <c r="C2" s="35" t="s">
        <v>35</v>
      </c>
      <c r="D2" s="36" t="s">
        <v>33</v>
      </c>
      <c r="E2" s="36" t="s">
        <v>34</v>
      </c>
      <c r="G2" s="40"/>
      <c r="H2" s="144" t="s">
        <v>47</v>
      </c>
      <c r="I2" s="145"/>
      <c r="J2" s="145"/>
      <c r="K2" s="145"/>
      <c r="L2" s="145"/>
      <c r="M2" s="145"/>
      <c r="N2" s="166"/>
      <c r="O2" s="167"/>
      <c r="Q2" s="40"/>
      <c r="R2" s="145" t="s">
        <v>47</v>
      </c>
      <c r="S2" s="145"/>
      <c r="T2" s="145"/>
      <c r="U2" s="145"/>
      <c r="V2" s="145"/>
      <c r="W2" s="145"/>
      <c r="X2" s="145"/>
      <c r="Y2" s="148"/>
    </row>
    <row r="3" spans="2:25" x14ac:dyDescent="0.25">
      <c r="B3" s="35">
        <v>3</v>
      </c>
      <c r="C3" s="35">
        <v>0</v>
      </c>
      <c r="D3" s="36">
        <v>-0.25793776899999998</v>
      </c>
      <c r="E3" s="36">
        <v>0.29910872979999997</v>
      </c>
      <c r="G3" s="42"/>
      <c r="H3" s="158" t="s">
        <v>41</v>
      </c>
      <c r="I3" s="159"/>
      <c r="K3" s="160" t="s">
        <v>42</v>
      </c>
      <c r="L3" s="159"/>
      <c r="N3" s="161" t="s">
        <v>43</v>
      </c>
      <c r="O3" s="170"/>
      <c r="Q3" s="41"/>
      <c r="R3" s="149" t="s">
        <v>33</v>
      </c>
      <c r="S3" s="150"/>
      <c r="U3" s="149" t="s">
        <v>34</v>
      </c>
      <c r="V3" s="150"/>
      <c r="X3" s="149" t="s">
        <v>35</v>
      </c>
      <c r="Y3" s="150"/>
    </row>
    <row r="4" spans="2:25" x14ac:dyDescent="0.25">
      <c r="B4" s="35">
        <v>3.25</v>
      </c>
      <c r="C4" s="35">
        <v>0</v>
      </c>
      <c r="D4" s="36">
        <v>-0.27007164099999997</v>
      </c>
      <c r="E4" s="36">
        <v>0.28231507389999999</v>
      </c>
      <c r="G4" s="48" t="s">
        <v>1</v>
      </c>
      <c r="H4" s="49" t="s">
        <v>2</v>
      </c>
      <c r="I4" s="88">
        <v>-9.1978000000000009</v>
      </c>
      <c r="K4" s="51" t="s">
        <v>27</v>
      </c>
      <c r="L4" s="88">
        <v>-1.5769</v>
      </c>
      <c r="N4" s="51" t="s">
        <v>31</v>
      </c>
      <c r="O4" s="102">
        <v>0.62890000000000001</v>
      </c>
      <c r="Q4" s="41" t="s">
        <v>1</v>
      </c>
      <c r="R4" s="43" t="s">
        <v>8</v>
      </c>
      <c r="S4" s="44">
        <v>1.87151</v>
      </c>
      <c r="T4" s="45"/>
      <c r="U4" s="46" t="s">
        <v>14</v>
      </c>
      <c r="V4" s="44">
        <v>0.28422999999999998</v>
      </c>
      <c r="W4" s="2"/>
      <c r="X4" s="43" t="s">
        <v>20</v>
      </c>
      <c r="Y4" s="47">
        <v>0</v>
      </c>
    </row>
    <row r="5" spans="2:25" x14ac:dyDescent="0.25">
      <c r="B5" s="35">
        <v>3.5</v>
      </c>
      <c r="C5" s="35">
        <v>0</v>
      </c>
      <c r="D5" s="36">
        <v>-0.27842681800000002</v>
      </c>
      <c r="E5" s="36">
        <v>0.26678284000000002</v>
      </c>
      <c r="F5" s="7"/>
      <c r="G5" s="48" t="s">
        <v>49</v>
      </c>
      <c r="H5" s="49" t="s">
        <v>3</v>
      </c>
      <c r="I5" s="88">
        <v>2.1023000000000001</v>
      </c>
      <c r="K5" s="52"/>
      <c r="L5" s="92"/>
      <c r="N5" s="51"/>
      <c r="O5" s="88"/>
      <c r="Q5" s="41" t="s">
        <v>67</v>
      </c>
      <c r="R5" s="43" t="s">
        <v>9</v>
      </c>
      <c r="S5" s="50">
        <v>-16.489850000000001</v>
      </c>
      <c r="T5" s="45"/>
      <c r="U5" s="46" t="s">
        <v>15</v>
      </c>
      <c r="V5" s="44">
        <v>-4.0325199999999999</v>
      </c>
      <c r="X5" s="43" t="s">
        <v>21</v>
      </c>
      <c r="Y5" s="47">
        <v>0</v>
      </c>
    </row>
    <row r="6" spans="2:25" ht="13.8" x14ac:dyDescent="0.25">
      <c r="B6" s="35">
        <v>3.75</v>
      </c>
      <c r="C6" s="35">
        <v>0</v>
      </c>
      <c r="D6" s="36">
        <v>-0.28326709</v>
      </c>
      <c r="E6" s="36">
        <v>0.25233251020000003</v>
      </c>
      <c r="F6" s="7"/>
      <c r="G6" s="48" t="s">
        <v>48</v>
      </c>
      <c r="H6" s="49" t="s">
        <v>4</v>
      </c>
      <c r="I6" s="88">
        <v>-0.36559999999999998</v>
      </c>
      <c r="K6" s="51" t="s">
        <v>28</v>
      </c>
      <c r="L6" s="88">
        <v>0.19589999999999999</v>
      </c>
      <c r="N6" s="51" t="s">
        <v>32</v>
      </c>
      <c r="O6" s="88">
        <v>-0.13420000000000001</v>
      </c>
      <c r="Q6" s="41" t="s">
        <v>120</v>
      </c>
      <c r="R6" s="43" t="s">
        <v>10</v>
      </c>
      <c r="S6" s="44">
        <v>65.036910000000006</v>
      </c>
      <c r="T6" s="45"/>
      <c r="U6" s="46" t="s">
        <v>16</v>
      </c>
      <c r="V6" s="44">
        <v>14.19341</v>
      </c>
      <c r="X6" s="43" t="s">
        <v>22</v>
      </c>
      <c r="Y6" s="47">
        <v>0</v>
      </c>
    </row>
    <row r="7" spans="2:25" ht="13.8" x14ac:dyDescent="0.25">
      <c r="B7" s="35">
        <v>4</v>
      </c>
      <c r="C7" s="35">
        <v>0</v>
      </c>
      <c r="D7" s="36">
        <v>-0.28523029999999999</v>
      </c>
      <c r="E7" s="36">
        <v>0.23880998440000001</v>
      </c>
      <c r="F7" s="7"/>
      <c r="G7" s="48" t="s">
        <v>50</v>
      </c>
      <c r="H7" s="49" t="s">
        <v>5</v>
      </c>
      <c r="I7" s="88">
        <v>-0.28789999999999999</v>
      </c>
      <c r="K7" s="51" t="s">
        <v>29</v>
      </c>
      <c r="L7" s="88">
        <v>0.1205</v>
      </c>
      <c r="N7" s="51" t="s">
        <v>26</v>
      </c>
      <c r="O7" s="103" t="s">
        <v>35</v>
      </c>
      <c r="Q7" s="41" t="s">
        <v>121</v>
      </c>
      <c r="R7" s="43" t="s">
        <v>11</v>
      </c>
      <c r="S7" s="44">
        <v>-124.50360999999999</v>
      </c>
      <c r="T7" s="45"/>
      <c r="U7" s="46" t="s">
        <v>17</v>
      </c>
      <c r="V7" s="44">
        <v>-19.848310000000001</v>
      </c>
      <c r="X7" s="43" t="s">
        <v>23</v>
      </c>
      <c r="Y7" s="47">
        <v>0</v>
      </c>
    </row>
    <row r="8" spans="2:25" ht="13.8" x14ac:dyDescent="0.25">
      <c r="B8" s="35">
        <v>4.25</v>
      </c>
      <c r="C8" s="35">
        <v>0</v>
      </c>
      <c r="D8" s="36">
        <v>-0.284727691</v>
      </c>
      <c r="E8" s="36">
        <v>0.22610049739999999</v>
      </c>
      <c r="F8" s="7"/>
      <c r="G8" s="48" t="s">
        <v>51</v>
      </c>
      <c r="H8" s="49" t="s">
        <v>6</v>
      </c>
      <c r="I8" s="88">
        <v>0.1142</v>
      </c>
      <c r="K8" s="51" t="s">
        <v>30</v>
      </c>
      <c r="L8" s="88">
        <v>-0.20369999999999999</v>
      </c>
      <c r="N8" s="51"/>
      <c r="O8" s="88"/>
      <c r="Q8" s="41" t="s">
        <v>122</v>
      </c>
      <c r="R8" s="43" t="s">
        <v>12</v>
      </c>
      <c r="S8" s="44">
        <v>107.14445000000001</v>
      </c>
      <c r="T8" s="45"/>
      <c r="U8" s="46" t="s">
        <v>18</v>
      </c>
      <c r="V8" s="44">
        <v>13.380179999999999</v>
      </c>
      <c r="X8" s="43" t="s">
        <v>24</v>
      </c>
      <c r="Y8" s="47">
        <v>0</v>
      </c>
    </row>
    <row r="9" spans="2:25" ht="13.8" x14ac:dyDescent="0.25">
      <c r="B9" s="35">
        <v>4.5</v>
      </c>
      <c r="C9" s="35">
        <v>0</v>
      </c>
      <c r="D9" s="36">
        <v>-0.28269726099999998</v>
      </c>
      <c r="E9" s="36">
        <v>0.21409227610000001</v>
      </c>
      <c r="G9" s="48" t="s">
        <v>52</v>
      </c>
      <c r="H9" s="49" t="s">
        <v>38</v>
      </c>
      <c r="I9" s="88">
        <v>0.13639999999999999</v>
      </c>
      <c r="K9" s="51" t="s">
        <v>44</v>
      </c>
      <c r="L9" s="88">
        <v>-0.16639999999999999</v>
      </c>
      <c r="N9" s="51"/>
      <c r="O9" s="88"/>
      <c r="Q9" s="41" t="s">
        <v>123</v>
      </c>
      <c r="R9" s="43" t="s">
        <v>13</v>
      </c>
      <c r="S9" s="44">
        <v>-34.26999</v>
      </c>
      <c r="T9" s="45"/>
      <c r="U9" s="46" t="s">
        <v>19</v>
      </c>
      <c r="V9" s="44">
        <v>-3.57653</v>
      </c>
      <c r="X9" s="43" t="s">
        <v>25</v>
      </c>
      <c r="Y9" s="47">
        <v>0</v>
      </c>
    </row>
    <row r="10" spans="2:25" ht="13.8" x14ac:dyDescent="0.25">
      <c r="B10" s="35">
        <v>4.75</v>
      </c>
      <c r="C10" s="35">
        <v>0</v>
      </c>
      <c r="D10" s="36">
        <v>-0.28000370600000002</v>
      </c>
      <c r="E10" s="36">
        <v>0.20267778510000001</v>
      </c>
      <c r="G10" s="132" t="s">
        <v>171</v>
      </c>
      <c r="H10" s="51" t="s">
        <v>169</v>
      </c>
      <c r="I10" s="88">
        <v>-2.7199999999999998E-2</v>
      </c>
      <c r="K10" s="51" t="s">
        <v>170</v>
      </c>
      <c r="L10" s="88">
        <v>-3.8100000000000002E-2</v>
      </c>
      <c r="N10" s="51"/>
      <c r="O10" s="88"/>
      <c r="Q10" s="41" t="s">
        <v>124</v>
      </c>
      <c r="R10" s="43"/>
      <c r="S10" s="53"/>
      <c r="U10" s="43"/>
      <c r="V10" s="54"/>
      <c r="X10" s="43" t="s">
        <v>39</v>
      </c>
      <c r="Y10" s="55">
        <v>0</v>
      </c>
    </row>
    <row r="11" spans="2:25" ht="13.8" x14ac:dyDescent="0.25">
      <c r="B11" s="35">
        <v>5</v>
      </c>
      <c r="C11" s="35">
        <v>0</v>
      </c>
      <c r="D11" s="36">
        <v>-0.27754988200000003</v>
      </c>
      <c r="E11" s="36">
        <v>0.19176943869999999</v>
      </c>
      <c r="G11" s="56"/>
      <c r="H11" s="57"/>
      <c r="I11" s="95" t="s">
        <v>33</v>
      </c>
      <c r="K11" s="59"/>
      <c r="L11" s="95" t="s">
        <v>34</v>
      </c>
      <c r="N11" s="59"/>
      <c r="O11" s="104"/>
      <c r="Q11" s="64" t="s">
        <v>133</v>
      </c>
      <c r="R11" s="61"/>
      <c r="S11" s="62"/>
      <c r="U11" s="61"/>
      <c r="V11" s="62"/>
      <c r="X11" s="61" t="s">
        <v>40</v>
      </c>
      <c r="Y11" s="63">
        <v>0</v>
      </c>
    </row>
    <row r="12" spans="2:25" x14ac:dyDescent="0.25">
      <c r="B12" s="35">
        <v>5.25</v>
      </c>
      <c r="C12" s="35">
        <v>0</v>
      </c>
      <c r="D12" s="36">
        <v>-0.27596605899999999</v>
      </c>
      <c r="E12" s="36">
        <v>0.1812892281</v>
      </c>
    </row>
    <row r="13" spans="2:25" x14ac:dyDescent="0.25">
      <c r="B13" s="35">
        <v>5.5</v>
      </c>
      <c r="C13" s="35">
        <v>0</v>
      </c>
      <c r="D13" s="36">
        <v>-0.275688449</v>
      </c>
      <c r="E13" s="36">
        <v>0.17117486209999999</v>
      </c>
      <c r="G13" s="2" t="s">
        <v>147</v>
      </c>
      <c r="H13" s="7"/>
    </row>
    <row r="14" spans="2:25" x14ac:dyDescent="0.25">
      <c r="B14" s="35">
        <v>5.75</v>
      </c>
      <c r="C14" s="35">
        <v>0</v>
      </c>
      <c r="D14" s="36">
        <v>-0.27694235299999997</v>
      </c>
      <c r="E14" s="36">
        <v>0.16138928799999999</v>
      </c>
      <c r="G14" s="1" t="s">
        <v>74</v>
      </c>
    </row>
    <row r="15" spans="2:25" x14ac:dyDescent="0.25">
      <c r="B15" s="35">
        <v>6</v>
      </c>
      <c r="C15" s="35">
        <v>0</v>
      </c>
      <c r="D15" s="36">
        <v>-0.27967124799999998</v>
      </c>
      <c r="E15" s="36">
        <v>0.1519122836</v>
      </c>
      <c r="G15" s="1" t="s">
        <v>73</v>
      </c>
    </row>
    <row r="16" spans="2:25" ht="13.8" x14ac:dyDescent="0.25">
      <c r="B16" s="35">
        <v>6.25</v>
      </c>
      <c r="C16" s="35">
        <v>0</v>
      </c>
      <c r="D16" s="36">
        <v>-0.28377139400000001</v>
      </c>
      <c r="E16" s="36">
        <v>0.14272532760000001</v>
      </c>
      <c r="G16" s="1" t="s">
        <v>37</v>
      </c>
      <c r="P16" s="85"/>
      <c r="Q16" s="35"/>
      <c r="R16" s="35"/>
      <c r="S16" s="35"/>
      <c r="T16" s="35"/>
    </row>
    <row r="17" spans="2:20" x14ac:dyDescent="0.25">
      <c r="B17" s="35">
        <v>6.5</v>
      </c>
      <c r="C17" s="35">
        <v>0</v>
      </c>
      <c r="D17" s="36">
        <v>-0.28885018899999998</v>
      </c>
      <c r="E17" s="36">
        <v>0.13381395830000001</v>
      </c>
      <c r="P17" s="85"/>
      <c r="Q17" s="35"/>
      <c r="R17" s="35"/>
      <c r="S17" s="35"/>
      <c r="T17" s="35"/>
    </row>
    <row r="18" spans="2:20" x14ac:dyDescent="0.25">
      <c r="B18" s="35">
        <v>6.75</v>
      </c>
      <c r="C18" s="35">
        <v>0</v>
      </c>
      <c r="D18" s="36">
        <v>-0.29440382599999998</v>
      </c>
      <c r="E18" s="36">
        <v>0.12516682709999999</v>
      </c>
      <c r="G18" s="1" t="s">
        <v>82</v>
      </c>
      <c r="P18" s="35"/>
      <c r="Q18" s="35"/>
      <c r="R18" s="35"/>
      <c r="S18" s="85"/>
      <c r="T18" s="35"/>
    </row>
    <row r="19" spans="2:20" x14ac:dyDescent="0.25">
      <c r="B19" s="35">
        <v>7</v>
      </c>
      <c r="C19" s="35">
        <v>0</v>
      </c>
      <c r="D19" s="36">
        <v>-0.29990324000000002</v>
      </c>
      <c r="E19" s="36">
        <v>0.1167755063</v>
      </c>
      <c r="G19" s="1" t="s">
        <v>81</v>
      </c>
    </row>
    <row r="20" spans="2:20" x14ac:dyDescent="0.25">
      <c r="B20" s="35">
        <v>7.25</v>
      </c>
      <c r="C20" s="35">
        <v>0</v>
      </c>
      <c r="D20" s="36">
        <v>-0.30491615500000002</v>
      </c>
      <c r="E20" s="36">
        <v>0.1086312031</v>
      </c>
      <c r="G20" s="1" t="s">
        <v>75</v>
      </c>
      <c r="H20" s="1" t="s">
        <v>76</v>
      </c>
    </row>
    <row r="21" spans="2:20" x14ac:dyDescent="0.25">
      <c r="B21" s="35">
        <v>7.5</v>
      </c>
      <c r="C21" s="35">
        <v>0</v>
      </c>
      <c r="D21" s="36">
        <v>-0.309113529</v>
      </c>
      <c r="E21" s="36">
        <v>0.10072374420000001</v>
      </c>
      <c r="G21" s="1" t="s">
        <v>77</v>
      </c>
      <c r="H21" s="1" t="s">
        <v>78</v>
      </c>
    </row>
    <row r="22" spans="2:20" x14ac:dyDescent="0.25">
      <c r="B22" s="35">
        <v>7.75</v>
      </c>
      <c r="C22" s="35">
        <v>0</v>
      </c>
      <c r="D22" s="36">
        <v>-0.31227811700000002</v>
      </c>
      <c r="E22" s="36">
        <v>9.3041368499999999E-2</v>
      </c>
      <c r="G22" s="1" t="s">
        <v>79</v>
      </c>
      <c r="H22" s="1" t="s">
        <v>80</v>
      </c>
    </row>
    <row r="23" spans="2:20" x14ac:dyDescent="0.25">
      <c r="B23" s="35">
        <v>8</v>
      </c>
      <c r="C23" s="35">
        <v>0</v>
      </c>
      <c r="D23" s="36">
        <v>-0.31429583500000002</v>
      </c>
      <c r="E23" s="36">
        <v>8.5570566599999995E-2</v>
      </c>
      <c r="G23" s="1" t="s">
        <v>171</v>
      </c>
      <c r="H23" s="1" t="s">
        <v>172</v>
      </c>
    </row>
    <row r="24" spans="2:20" x14ac:dyDescent="0.25">
      <c r="B24" s="35">
        <v>8.25</v>
      </c>
      <c r="C24" s="35">
        <v>0</v>
      </c>
      <c r="D24" s="36">
        <v>-0.31506920999999999</v>
      </c>
      <c r="E24" s="36">
        <v>7.8297153199999997E-2</v>
      </c>
    </row>
    <row r="25" spans="2:20" x14ac:dyDescent="0.25">
      <c r="B25" s="35">
        <v>8.5</v>
      </c>
      <c r="C25" s="35">
        <v>0</v>
      </c>
      <c r="D25" s="36">
        <v>-0.31452464099999999</v>
      </c>
      <c r="E25" s="36">
        <v>7.1209589500000003E-2</v>
      </c>
      <c r="G25" s="87" t="s">
        <v>162</v>
      </c>
    </row>
    <row r="26" spans="2:20" x14ac:dyDescent="0.25">
      <c r="B26" s="35">
        <v>8.75</v>
      </c>
      <c r="C26" s="35">
        <v>0</v>
      </c>
      <c r="D26" s="36">
        <v>-0.31256287300000002</v>
      </c>
      <c r="E26" s="36">
        <v>6.42990014E-2</v>
      </c>
      <c r="G26" s="9" t="s">
        <v>45</v>
      </c>
    </row>
    <row r="27" spans="2:20" x14ac:dyDescent="0.25">
      <c r="B27" s="35">
        <v>9</v>
      </c>
      <c r="C27" s="35">
        <v>0</v>
      </c>
      <c r="D27" s="36">
        <v>-0.30915469000000001</v>
      </c>
      <c r="E27" s="36">
        <v>5.7558225800000001E-2</v>
      </c>
      <c r="G27" s="9"/>
    </row>
    <row r="28" spans="2:20" x14ac:dyDescent="0.25">
      <c r="B28" s="35">
        <v>9.25</v>
      </c>
      <c r="C28" s="35">
        <v>0</v>
      </c>
      <c r="D28" s="36">
        <v>-0.304247084</v>
      </c>
      <c r="E28" s="36">
        <v>5.09850003E-2</v>
      </c>
      <c r="G28" s="60" t="s">
        <v>153</v>
      </c>
    </row>
    <row r="29" spans="2:20" x14ac:dyDescent="0.25">
      <c r="B29" s="35">
        <v>9.5</v>
      </c>
      <c r="C29" s="35">
        <v>0</v>
      </c>
      <c r="D29" s="36">
        <v>-0.29769308</v>
      </c>
      <c r="E29" s="36">
        <v>4.4581776500000003E-2</v>
      </c>
      <c r="G29" s="10" t="s">
        <v>175</v>
      </c>
    </row>
    <row r="30" spans="2:20" x14ac:dyDescent="0.25">
      <c r="B30" s="35">
        <v>9.75</v>
      </c>
      <c r="C30" s="35">
        <v>0</v>
      </c>
      <c r="D30" s="36">
        <v>-0.28939176799999999</v>
      </c>
      <c r="E30" s="36">
        <v>3.8351302400000002E-2</v>
      </c>
      <c r="G30" s="10" t="s">
        <v>53</v>
      </c>
    </row>
    <row r="31" spans="2:20" x14ac:dyDescent="0.25">
      <c r="B31" s="35">
        <v>10</v>
      </c>
      <c r="C31" s="35">
        <v>0</v>
      </c>
      <c r="D31" s="36">
        <v>-0.27935729300000001</v>
      </c>
      <c r="E31" s="36">
        <v>3.2296440000000003E-2</v>
      </c>
      <c r="G31" s="1" t="s">
        <v>55</v>
      </c>
    </row>
    <row r="32" spans="2:20" x14ac:dyDescent="0.25">
      <c r="B32" s="35">
        <v>10.25</v>
      </c>
      <c r="C32" s="35">
        <v>0</v>
      </c>
      <c r="D32" s="36">
        <v>-0.26764029900000003</v>
      </c>
      <c r="E32" s="36">
        <v>2.6418284100000002E-2</v>
      </c>
      <c r="O32" s="111"/>
    </row>
    <row r="33" spans="2:15" x14ac:dyDescent="0.25">
      <c r="B33" s="35">
        <v>10.5</v>
      </c>
      <c r="C33" s="35">
        <v>0</v>
      </c>
      <c r="D33" s="36">
        <v>-0.25420288400000002</v>
      </c>
      <c r="E33" s="36">
        <v>2.0715983399999999E-2</v>
      </c>
      <c r="O33" s="111"/>
    </row>
    <row r="34" spans="2:15" x14ac:dyDescent="0.25">
      <c r="B34" s="35">
        <v>10.75</v>
      </c>
      <c r="C34" s="35">
        <v>0</v>
      </c>
      <c r="D34" s="36">
        <v>-0.23904710900000001</v>
      </c>
      <c r="E34" s="36">
        <v>1.51872191E-2</v>
      </c>
      <c r="O34" s="111"/>
    </row>
    <row r="35" spans="2:15" x14ac:dyDescent="0.25">
      <c r="B35" s="35">
        <v>11</v>
      </c>
      <c r="C35" s="35">
        <v>0</v>
      </c>
      <c r="D35" s="36">
        <v>-0.22225225300000001</v>
      </c>
      <c r="E35" s="36">
        <v>9.8289497000000007E-3</v>
      </c>
      <c r="O35" s="111"/>
    </row>
    <row r="36" spans="2:15" x14ac:dyDescent="0.25">
      <c r="B36" s="35">
        <v>11.25</v>
      </c>
      <c r="C36" s="35">
        <v>0</v>
      </c>
      <c r="D36" s="36">
        <v>-0.20395324200000001</v>
      </c>
      <c r="E36" s="36">
        <v>4.6381790000000001E-3</v>
      </c>
      <c r="O36" s="111"/>
    </row>
    <row r="37" spans="2:15" x14ac:dyDescent="0.25">
      <c r="B37" s="35">
        <v>11.5</v>
      </c>
      <c r="C37" s="35">
        <v>0</v>
      </c>
      <c r="D37" s="36">
        <v>-0.18426648500000001</v>
      </c>
      <c r="E37" s="36">
        <v>-3.8775179999999998E-4</v>
      </c>
    </row>
    <row r="38" spans="2:15" x14ac:dyDescent="0.25">
      <c r="B38" s="35">
        <v>11.75</v>
      </c>
      <c r="C38" s="35">
        <v>0</v>
      </c>
      <c r="D38" s="36">
        <v>-0.163350253</v>
      </c>
      <c r="E38" s="36">
        <v>-5.2528174999999996E-3</v>
      </c>
    </row>
    <row r="39" spans="2:15" x14ac:dyDescent="0.25">
      <c r="B39" s="35">
        <v>12</v>
      </c>
      <c r="C39" s="35">
        <v>0</v>
      </c>
      <c r="D39" s="36">
        <v>-0.141412972</v>
      </c>
      <c r="E39" s="36">
        <v>-9.9615595999999994E-3</v>
      </c>
    </row>
    <row r="40" spans="2:15" x14ac:dyDescent="0.25">
      <c r="B40" s="35">
        <v>12.25</v>
      </c>
      <c r="C40" s="35">
        <v>0</v>
      </c>
      <c r="D40" s="36">
        <v>-0.118680645</v>
      </c>
      <c r="E40" s="36">
        <v>-1.4517066800000001E-2</v>
      </c>
    </row>
    <row r="41" spans="2:15" x14ac:dyDescent="0.25">
      <c r="B41" s="35">
        <v>12.5</v>
      </c>
      <c r="C41" s="35">
        <v>0</v>
      </c>
      <c r="D41" s="36">
        <v>-9.5328071E-2</v>
      </c>
      <c r="E41" s="36">
        <v>-1.8921730300000002E-2</v>
      </c>
    </row>
    <row r="42" spans="2:15" x14ac:dyDescent="0.25">
      <c r="B42" s="35">
        <v>12.75</v>
      </c>
      <c r="C42" s="35">
        <v>0</v>
      </c>
      <c r="D42" s="36">
        <v>-7.1515321000000007E-2</v>
      </c>
      <c r="E42" s="36">
        <v>-2.3178220699999998E-2</v>
      </c>
    </row>
    <row r="43" spans="2:15" x14ac:dyDescent="0.25">
      <c r="B43" s="35">
        <v>13</v>
      </c>
      <c r="C43" s="35">
        <v>0</v>
      </c>
      <c r="D43" s="36">
        <v>-4.7410576000000003E-2</v>
      </c>
      <c r="E43" s="36">
        <v>-2.7289801799999999E-2</v>
      </c>
    </row>
    <row r="44" spans="2:15" x14ac:dyDescent="0.25">
      <c r="B44" s="35">
        <v>13.25</v>
      </c>
      <c r="C44" s="35">
        <v>0</v>
      </c>
      <c r="D44" s="36">
        <v>-2.3179050999999999E-2</v>
      </c>
      <c r="E44" s="36">
        <v>-3.1259968499999999E-2</v>
      </c>
    </row>
    <row r="45" spans="2:15" x14ac:dyDescent="0.25">
      <c r="B45" s="35">
        <v>13.5</v>
      </c>
      <c r="C45" s="35">
        <v>0</v>
      </c>
      <c r="D45" s="36">
        <v>1.035163E-3</v>
      </c>
      <c r="E45" s="36">
        <v>-3.5091253099999997E-2</v>
      </c>
    </row>
    <row r="46" spans="2:15" x14ac:dyDescent="0.25">
      <c r="B46" s="35">
        <v>13.75</v>
      </c>
      <c r="C46" s="35">
        <v>0</v>
      </c>
      <c r="D46" s="36">
        <v>2.5080463000000001E-2</v>
      </c>
      <c r="E46" s="36">
        <v>-3.8785662700000001E-2</v>
      </c>
    </row>
    <row r="47" spans="2:15" x14ac:dyDescent="0.25">
      <c r="B47" s="35">
        <v>14</v>
      </c>
      <c r="C47" s="35">
        <v>0</v>
      </c>
      <c r="D47" s="36">
        <v>4.8787154999999999E-2</v>
      </c>
      <c r="E47" s="36">
        <v>-4.23443529E-2</v>
      </c>
    </row>
    <row r="48" spans="2:15" x14ac:dyDescent="0.25">
      <c r="B48" s="35">
        <v>14.25</v>
      </c>
      <c r="C48" s="35">
        <v>0</v>
      </c>
      <c r="D48" s="36">
        <v>7.1962733000000001E-2</v>
      </c>
      <c r="E48" s="36">
        <v>-4.57680616E-2</v>
      </c>
    </row>
    <row r="49" spans="2:15" x14ac:dyDescent="0.25">
      <c r="B49" s="35">
        <v>14.5</v>
      </c>
      <c r="C49" s="35">
        <v>0</v>
      </c>
      <c r="D49" s="36">
        <v>9.4449823000000002E-2</v>
      </c>
      <c r="E49" s="36">
        <v>-4.9057758600000001E-2</v>
      </c>
    </row>
    <row r="50" spans="2:15" x14ac:dyDescent="0.25">
      <c r="B50" s="35">
        <v>14.75</v>
      </c>
      <c r="C50" s="35">
        <v>0</v>
      </c>
      <c r="D50" s="36">
        <v>0.11609773399999999</v>
      </c>
      <c r="E50" s="36">
        <v>-5.2214922099999998E-2</v>
      </c>
    </row>
    <row r="51" spans="2:15" x14ac:dyDescent="0.25">
      <c r="B51" s="35">
        <v>15</v>
      </c>
      <c r="C51" s="35">
        <v>0</v>
      </c>
      <c r="D51" s="36">
        <v>0.13674596899999999</v>
      </c>
      <c r="E51" s="36">
        <v>-5.5242100600000003E-2</v>
      </c>
    </row>
    <row r="52" spans="2:15" x14ac:dyDescent="0.25">
      <c r="B52" s="35">
        <v>15.25</v>
      </c>
      <c r="C52" s="35">
        <v>0</v>
      </c>
      <c r="D52" s="36">
        <v>0.15625441500000001</v>
      </c>
      <c r="E52" s="36">
        <v>-5.8142250700000002E-2</v>
      </c>
    </row>
    <row r="53" spans="2:15" x14ac:dyDescent="0.25">
      <c r="B53" s="35">
        <v>15.5</v>
      </c>
      <c r="C53" s="35">
        <v>0</v>
      </c>
      <c r="D53" s="36">
        <v>0.17454746900000001</v>
      </c>
      <c r="E53" s="36">
        <v>-6.0918487399999999E-2</v>
      </c>
    </row>
    <row r="54" spans="2:15" x14ac:dyDescent="0.25">
      <c r="B54" s="35">
        <v>15.75</v>
      </c>
      <c r="C54" s="35">
        <v>0</v>
      </c>
      <c r="D54" s="36">
        <v>0.191594983</v>
      </c>
      <c r="E54" s="36">
        <v>-6.3573828299999996E-2</v>
      </c>
    </row>
    <row r="55" spans="2:15" x14ac:dyDescent="0.25">
      <c r="B55" s="35">
        <v>16</v>
      </c>
      <c r="C55" s="35">
        <v>0</v>
      </c>
      <c r="D55" s="36">
        <v>0.20738435299999999</v>
      </c>
      <c r="E55" s="36">
        <v>-6.6111178199999995E-2</v>
      </c>
    </row>
    <row r="56" spans="2:15" x14ac:dyDescent="0.25">
      <c r="B56" s="35">
        <v>16.25</v>
      </c>
      <c r="C56" s="35">
        <v>0</v>
      </c>
      <c r="D56" s="36">
        <v>0.22189661199999999</v>
      </c>
      <c r="E56" s="36">
        <v>-6.8532640899999997E-2</v>
      </c>
    </row>
    <row r="57" spans="2:15" x14ac:dyDescent="0.25">
      <c r="B57" s="35">
        <v>16.5</v>
      </c>
      <c r="C57" s="35">
        <v>0</v>
      </c>
      <c r="D57" s="36">
        <v>0.23514183399999999</v>
      </c>
      <c r="E57" s="36">
        <v>-7.0839834800000001E-2</v>
      </c>
    </row>
    <row r="58" spans="2:15" x14ac:dyDescent="0.25">
      <c r="B58" s="35">
        <v>16.75</v>
      </c>
      <c r="C58" s="35">
        <v>0</v>
      </c>
      <c r="D58" s="36">
        <v>0.24714132699999999</v>
      </c>
      <c r="E58" s="36">
        <v>-7.3034914800000003E-2</v>
      </c>
      <c r="O58" s="96"/>
    </row>
    <row r="59" spans="2:15" x14ac:dyDescent="0.25">
      <c r="B59" s="35">
        <v>17</v>
      </c>
      <c r="C59" s="35">
        <v>0</v>
      </c>
      <c r="D59" s="36">
        <v>0.25792310299999999</v>
      </c>
      <c r="E59" s="36">
        <v>-7.5120298399999993E-2</v>
      </c>
      <c r="O59" s="96"/>
    </row>
    <row r="60" spans="2:15" x14ac:dyDescent="0.25">
      <c r="B60" s="35">
        <v>17.25</v>
      </c>
      <c r="C60" s="35">
        <v>0</v>
      </c>
      <c r="D60" s="36">
        <v>0.26751837699999997</v>
      </c>
      <c r="E60" s="36">
        <v>-7.7098609600000007E-2</v>
      </c>
      <c r="O60" s="111"/>
    </row>
    <row r="61" spans="2:15" x14ac:dyDescent="0.25">
      <c r="B61" s="35">
        <v>17.5</v>
      </c>
      <c r="C61" s="35">
        <v>0</v>
      </c>
      <c r="D61" s="36">
        <v>0.27595079700000003</v>
      </c>
      <c r="E61" s="36">
        <v>-7.8972938000000006E-2</v>
      </c>
      <c r="O61" s="111"/>
    </row>
    <row r="62" spans="2:15" x14ac:dyDescent="0.25">
      <c r="B62" s="35">
        <v>17.75</v>
      </c>
      <c r="C62" s="35">
        <v>0</v>
      </c>
      <c r="D62" s="36">
        <v>0.28326164599999998</v>
      </c>
      <c r="E62" s="36">
        <v>-8.0746230399999994E-2</v>
      </c>
      <c r="O62" s="111"/>
    </row>
    <row r="63" spans="2:15" x14ac:dyDescent="0.25">
      <c r="B63" s="35">
        <v>18</v>
      </c>
      <c r="C63" s="35">
        <v>0</v>
      </c>
      <c r="D63" s="36">
        <v>0.28950752400000002</v>
      </c>
      <c r="E63" s="36">
        <v>-8.24213736E-2</v>
      </c>
      <c r="O63" s="111"/>
    </row>
    <row r="64" spans="2:15" x14ac:dyDescent="0.25">
      <c r="B64" s="35">
        <v>18.25</v>
      </c>
      <c r="C64" s="35">
        <v>0</v>
      </c>
      <c r="D64" s="36">
        <v>0.294760405</v>
      </c>
      <c r="E64" s="36">
        <v>-8.4001137899999995E-2</v>
      </c>
      <c r="O64" s="111"/>
    </row>
    <row r="65" spans="2:5" x14ac:dyDescent="0.25">
      <c r="B65" s="35">
        <v>18.5</v>
      </c>
      <c r="C65" s="35">
        <v>0</v>
      </c>
      <c r="D65" s="36">
        <v>0.29910261399999999</v>
      </c>
      <c r="E65" s="36">
        <v>-8.5487880500000002E-2</v>
      </c>
    </row>
    <row r="66" spans="2:5" x14ac:dyDescent="0.25">
      <c r="B66" s="35">
        <v>18.75</v>
      </c>
      <c r="C66" s="35">
        <v>0</v>
      </c>
      <c r="D66" s="36">
        <v>0.30261902499999999</v>
      </c>
      <c r="E66" s="36">
        <v>-8.6883594499999994E-2</v>
      </c>
    </row>
    <row r="67" spans="2:5" x14ac:dyDescent="0.25">
      <c r="B67" s="35">
        <v>19</v>
      </c>
      <c r="C67" s="35">
        <v>0</v>
      </c>
      <c r="D67" s="36">
        <v>0.305399631</v>
      </c>
      <c r="E67" s="36">
        <v>-8.81902351E-2</v>
      </c>
    </row>
    <row r="68" spans="2:5" x14ac:dyDescent="0.25">
      <c r="B68" s="35">
        <v>19.25</v>
      </c>
      <c r="C68" s="35">
        <v>0</v>
      </c>
      <c r="D68" s="36">
        <v>0.30752778600000003</v>
      </c>
      <c r="E68" s="36">
        <v>-8.94099587E-2</v>
      </c>
    </row>
    <row r="69" spans="2:5" x14ac:dyDescent="0.25">
      <c r="B69" s="35">
        <v>19.5</v>
      </c>
      <c r="C69" s="35">
        <v>0</v>
      </c>
      <c r="D69" s="36">
        <v>0.30907172199999999</v>
      </c>
      <c r="E69" s="36">
        <v>-9.0545114600000004E-2</v>
      </c>
    </row>
    <row r="70" spans="2:5" x14ac:dyDescent="0.25">
      <c r="B70" s="35">
        <v>19.75</v>
      </c>
      <c r="C70" s="35">
        <v>0</v>
      </c>
      <c r="D70" s="36">
        <v>0.31008489500000003</v>
      </c>
      <c r="E70" s="36">
        <v>-9.1598095099999999E-2</v>
      </c>
    </row>
    <row r="71" spans="2:5" x14ac:dyDescent="0.25">
      <c r="B71" s="35">
        <v>20</v>
      </c>
      <c r="C71" s="35">
        <v>0</v>
      </c>
      <c r="D71" s="36">
        <v>0.31061217000000002</v>
      </c>
      <c r="E71" s="36">
        <v>-9.2571252300000004E-2</v>
      </c>
    </row>
    <row r="72" spans="2:5" x14ac:dyDescent="0.25">
      <c r="B72" s="35">
        <v>20.25</v>
      </c>
      <c r="C72" s="35">
        <v>0</v>
      </c>
      <c r="D72" s="36">
        <v>0.31069433699999999</v>
      </c>
      <c r="E72" s="36">
        <v>-9.3466957599999997E-2</v>
      </c>
    </row>
    <row r="73" spans="2:5" x14ac:dyDescent="0.25">
      <c r="B73" s="35">
        <v>20.5</v>
      </c>
      <c r="C73" s="35">
        <v>0</v>
      </c>
      <c r="D73" s="36">
        <v>0.31036343700000002</v>
      </c>
      <c r="E73" s="36">
        <v>-9.4287706200000002E-2</v>
      </c>
    </row>
    <row r="74" spans="2:5" x14ac:dyDescent="0.25">
      <c r="B74" s="35">
        <v>20.75</v>
      </c>
      <c r="C74" s="35">
        <v>0</v>
      </c>
      <c r="D74" s="36">
        <v>0.30965679899999998</v>
      </c>
      <c r="E74" s="36">
        <v>-9.5035808599999994E-2</v>
      </c>
    </row>
    <row r="75" spans="2:5" x14ac:dyDescent="0.25">
      <c r="B75" s="35">
        <v>21</v>
      </c>
      <c r="C75" s="35">
        <v>0</v>
      </c>
      <c r="D75" s="36">
        <v>0.30861888500000001</v>
      </c>
      <c r="E75" s="36">
        <v>-9.57133337E-2</v>
      </c>
    </row>
    <row r="76" spans="2:5" x14ac:dyDescent="0.25">
      <c r="B76" s="35">
        <v>21.25</v>
      </c>
      <c r="C76" s="35">
        <v>0</v>
      </c>
      <c r="D76" s="36">
        <v>0.307290059</v>
      </c>
      <c r="E76" s="36">
        <v>-9.6322163200000005E-2</v>
      </c>
    </row>
    <row r="77" spans="2:5" x14ac:dyDescent="0.25">
      <c r="B77" s="35">
        <v>21.5</v>
      </c>
      <c r="C77" s="35">
        <v>0</v>
      </c>
      <c r="D77" s="36">
        <v>0.30569790899999999</v>
      </c>
      <c r="E77" s="36">
        <v>-9.6863985499999999E-2</v>
      </c>
    </row>
    <row r="78" spans="2:5" x14ac:dyDescent="0.25">
      <c r="B78" s="35">
        <v>21.75</v>
      </c>
      <c r="C78" s="35">
        <v>0</v>
      </c>
      <c r="D78" s="36">
        <v>0.30386544300000001</v>
      </c>
      <c r="E78" s="36">
        <v>-9.7340449100000004E-2</v>
      </c>
    </row>
    <row r="79" spans="2:5" x14ac:dyDescent="0.25">
      <c r="B79" s="35">
        <v>22</v>
      </c>
      <c r="C79" s="35">
        <v>0</v>
      </c>
      <c r="D79" s="36">
        <v>0.30181083399999997</v>
      </c>
      <c r="E79" s="36">
        <v>-9.7753220000000002E-2</v>
      </c>
    </row>
    <row r="80" spans="2:5" x14ac:dyDescent="0.25">
      <c r="B80" s="35">
        <v>22.25</v>
      </c>
      <c r="C80" s="35">
        <v>0</v>
      </c>
      <c r="D80" s="36">
        <v>0.29954660300000002</v>
      </c>
      <c r="E80" s="36">
        <v>-9.8103932099999999E-2</v>
      </c>
    </row>
    <row r="81" spans="2:5" x14ac:dyDescent="0.25">
      <c r="B81" s="35">
        <v>22.5</v>
      </c>
      <c r="C81" s="35">
        <v>0</v>
      </c>
      <c r="D81" s="36">
        <v>0.29708148299999998</v>
      </c>
      <c r="E81" s="36">
        <v>-9.8394272500000005E-2</v>
      </c>
    </row>
    <row r="82" spans="2:5" x14ac:dyDescent="0.25">
      <c r="B82" s="35">
        <v>22.75</v>
      </c>
      <c r="C82" s="35">
        <v>0</v>
      </c>
      <c r="D82" s="36">
        <v>0.29442900700000002</v>
      </c>
      <c r="E82" s="36">
        <v>-9.8625928700000004E-2</v>
      </c>
    </row>
    <row r="83" spans="2:5" x14ac:dyDescent="0.25">
      <c r="B83" s="35">
        <v>23</v>
      </c>
      <c r="C83" s="35">
        <v>0</v>
      </c>
      <c r="D83" s="36">
        <v>0.29160623899999999</v>
      </c>
      <c r="E83" s="36">
        <v>-9.8800556499999997E-2</v>
      </c>
    </row>
    <row r="84" spans="2:5" x14ac:dyDescent="0.25">
      <c r="B84" s="35">
        <v>23.25</v>
      </c>
      <c r="C84" s="35">
        <v>0</v>
      </c>
      <c r="D84" s="36">
        <v>0.28863267599999998</v>
      </c>
      <c r="E84" s="36">
        <v>-9.89197198E-2</v>
      </c>
    </row>
    <row r="85" spans="2:5" x14ac:dyDescent="0.25">
      <c r="B85" s="35">
        <v>23.5</v>
      </c>
      <c r="C85" s="35">
        <v>0</v>
      </c>
      <c r="D85" s="36">
        <v>0.28552241499999997</v>
      </c>
      <c r="E85" s="36">
        <v>-9.8984744799999996E-2</v>
      </c>
    </row>
    <row r="86" spans="2:5" x14ac:dyDescent="0.25">
      <c r="B86" s="35">
        <v>23.75</v>
      </c>
      <c r="C86" s="35">
        <v>0</v>
      </c>
      <c r="D86" s="36">
        <v>0.28229151499999999</v>
      </c>
      <c r="E86" s="36">
        <v>-9.8996846200000002E-2</v>
      </c>
    </row>
    <row r="87" spans="2:5" x14ac:dyDescent="0.25">
      <c r="B87" s="35">
        <v>24</v>
      </c>
      <c r="C87" s="35">
        <v>0</v>
      </c>
      <c r="D87" s="36">
        <v>0.27896217699999998</v>
      </c>
      <c r="E87" s="36">
        <v>-9.8957218299999997E-2</v>
      </c>
    </row>
    <row r="88" spans="2:5" x14ac:dyDescent="0.25">
      <c r="B88" s="35">
        <v>24.25</v>
      </c>
      <c r="C88" s="35">
        <v>0</v>
      </c>
      <c r="D88" s="36">
        <v>0.27555604700000003</v>
      </c>
      <c r="E88" s="36">
        <v>-9.8867028699999998E-2</v>
      </c>
    </row>
    <row r="89" spans="2:5" x14ac:dyDescent="0.25">
      <c r="B89" s="35">
        <v>24.5</v>
      </c>
      <c r="C89" s="35">
        <v>0</v>
      </c>
      <c r="D89" s="36">
        <v>0.27208306399999999</v>
      </c>
      <c r="E89" s="36">
        <v>-9.8727390999999998E-2</v>
      </c>
    </row>
    <row r="90" spans="2:5" x14ac:dyDescent="0.25">
      <c r="B90" s="35">
        <v>24.75</v>
      </c>
      <c r="C90" s="35">
        <v>0</v>
      </c>
      <c r="D90" s="36">
        <v>0.26855086500000003</v>
      </c>
      <c r="E90" s="36">
        <v>-9.8539438300000004E-2</v>
      </c>
    </row>
    <row r="91" spans="2:5" x14ac:dyDescent="0.25">
      <c r="B91" s="35">
        <v>25</v>
      </c>
      <c r="C91" s="35">
        <v>0</v>
      </c>
      <c r="D91" s="36">
        <v>0.264970818</v>
      </c>
      <c r="E91" s="36">
        <v>-9.8304236500000003E-2</v>
      </c>
    </row>
    <row r="92" spans="2:5" x14ac:dyDescent="0.25">
      <c r="B92" s="35">
        <v>25.25</v>
      </c>
      <c r="C92" s="35">
        <v>0</v>
      </c>
      <c r="D92" s="36">
        <v>0.26135541499999998</v>
      </c>
      <c r="E92" s="36">
        <v>-9.80227246E-2</v>
      </c>
    </row>
    <row r="93" spans="2:5" x14ac:dyDescent="0.25">
      <c r="B93" s="35">
        <v>25.5</v>
      </c>
      <c r="C93" s="35">
        <v>0</v>
      </c>
      <c r="D93" s="36">
        <v>0.25771793399999998</v>
      </c>
      <c r="E93" s="36">
        <v>-9.7695454400000006E-2</v>
      </c>
    </row>
    <row r="94" spans="2:5" x14ac:dyDescent="0.25">
      <c r="B94" s="35">
        <v>25.75</v>
      </c>
      <c r="C94" s="35">
        <v>0</v>
      </c>
      <c r="D94" s="36">
        <v>0.25407218199999998</v>
      </c>
      <c r="E94" s="36">
        <v>-9.7322814600000002E-2</v>
      </c>
    </row>
    <row r="95" spans="2:5" x14ac:dyDescent="0.25">
      <c r="B95" s="35">
        <v>26</v>
      </c>
      <c r="C95" s="35">
        <v>0</v>
      </c>
      <c r="D95" s="36">
        <v>0.25042967500000002</v>
      </c>
      <c r="E95" s="36">
        <v>-9.6905216599999996E-2</v>
      </c>
    </row>
    <row r="96" spans="2:5" x14ac:dyDescent="0.25">
      <c r="B96" s="35">
        <v>26.25</v>
      </c>
      <c r="C96" s="35">
        <v>0</v>
      </c>
      <c r="D96" s="36">
        <v>0.246802788</v>
      </c>
      <c r="E96" s="36">
        <v>-9.6443110799999995E-2</v>
      </c>
    </row>
    <row r="97" spans="2:5" x14ac:dyDescent="0.25">
      <c r="B97" s="35">
        <v>26.5</v>
      </c>
      <c r="C97" s="35">
        <v>0</v>
      </c>
      <c r="D97" s="36">
        <v>0.24320409500000001</v>
      </c>
      <c r="E97" s="36">
        <v>-9.5936982500000004E-2</v>
      </c>
    </row>
    <row r="98" spans="2:5" x14ac:dyDescent="0.25">
      <c r="B98" s="35">
        <v>26.75</v>
      </c>
      <c r="C98" s="35">
        <v>0</v>
      </c>
      <c r="D98" s="36">
        <v>0.23964572000000001</v>
      </c>
      <c r="E98" s="36">
        <v>-9.5387332500000005E-2</v>
      </c>
    </row>
    <row r="99" spans="2:5" x14ac:dyDescent="0.25">
      <c r="B99" s="35">
        <v>27</v>
      </c>
      <c r="C99" s="35">
        <v>0</v>
      </c>
      <c r="D99" s="36">
        <v>0.23613864200000001</v>
      </c>
      <c r="E99" s="36">
        <v>-9.4794649600000003E-2</v>
      </c>
    </row>
    <row r="100" spans="2:5" x14ac:dyDescent="0.25">
      <c r="B100" s="35">
        <v>27.25</v>
      </c>
      <c r="C100" s="35">
        <v>0</v>
      </c>
      <c r="D100" s="36">
        <v>0.23269226700000001</v>
      </c>
      <c r="E100" s="36">
        <v>-9.4159400200000007E-2</v>
      </c>
    </row>
    <row r="101" spans="2:5" x14ac:dyDescent="0.25">
      <c r="B101" s="35">
        <v>27.5</v>
      </c>
      <c r="C101" s="35">
        <v>0</v>
      </c>
      <c r="D101" s="36">
        <v>0.22931185900000001</v>
      </c>
      <c r="E101" s="36">
        <v>-9.34821136E-2</v>
      </c>
    </row>
    <row r="102" spans="2:5" x14ac:dyDescent="0.25">
      <c r="B102" s="35">
        <v>27.75</v>
      </c>
      <c r="C102" s="35">
        <v>0</v>
      </c>
      <c r="D102" s="36">
        <v>0.22600047400000001</v>
      </c>
      <c r="E102" s="36">
        <v>-9.2763343299999995E-2</v>
      </c>
    </row>
    <row r="103" spans="2:5" x14ac:dyDescent="0.25">
      <c r="B103" s="35">
        <v>28</v>
      </c>
      <c r="C103" s="35">
        <v>0</v>
      </c>
      <c r="D103" s="36">
        <v>0.22276102</v>
      </c>
      <c r="E103" s="36">
        <v>-9.2003691499999998E-2</v>
      </c>
    </row>
    <row r="104" spans="2:5" x14ac:dyDescent="0.25">
      <c r="B104" s="35">
        <v>28.25</v>
      </c>
      <c r="C104" s="35">
        <v>0</v>
      </c>
      <c r="D104" s="36">
        <v>0.21959596100000001</v>
      </c>
      <c r="E104" s="36">
        <v>-9.1203807400000003E-2</v>
      </c>
    </row>
    <row r="105" spans="2:5" x14ac:dyDescent="0.25">
      <c r="B105" s="35">
        <v>28.5</v>
      </c>
      <c r="C105" s="35">
        <v>0</v>
      </c>
      <c r="D105" s="36">
        <v>0.216503204</v>
      </c>
      <c r="E105" s="36">
        <v>-9.0364450499999999E-2</v>
      </c>
    </row>
    <row r="106" spans="2:5" x14ac:dyDescent="0.25">
      <c r="B106" s="35">
        <v>28.75</v>
      </c>
      <c r="C106" s="35">
        <v>0</v>
      </c>
      <c r="D106" s="36">
        <v>0.213479215</v>
      </c>
      <c r="E106" s="36">
        <v>-8.9486409000000003E-2</v>
      </c>
    </row>
    <row r="107" spans="2:5" x14ac:dyDescent="0.25">
      <c r="B107" s="35">
        <v>29</v>
      </c>
      <c r="C107" s="35">
        <v>0</v>
      </c>
      <c r="D107" s="36">
        <v>0.21052066999999999</v>
      </c>
      <c r="E107" s="36">
        <v>-8.8570453399999999E-2</v>
      </c>
    </row>
    <row r="108" spans="2:5" x14ac:dyDescent="0.25">
      <c r="B108" s="35">
        <v>29.25</v>
      </c>
      <c r="C108" s="35">
        <v>0</v>
      </c>
      <c r="D108" s="36">
        <v>0.20762461400000001</v>
      </c>
      <c r="E108" s="36">
        <v>-8.7617364200000006E-2</v>
      </c>
    </row>
    <row r="109" spans="2:5" x14ac:dyDescent="0.25">
      <c r="B109" s="35">
        <v>29.5</v>
      </c>
      <c r="C109" s="35">
        <v>0</v>
      </c>
      <c r="D109" s="36">
        <v>0.204787407</v>
      </c>
      <c r="E109" s="36">
        <v>-8.6627961700000006E-2</v>
      </c>
    </row>
    <row r="110" spans="2:5" x14ac:dyDescent="0.25">
      <c r="B110" s="35">
        <v>29.75</v>
      </c>
      <c r="C110" s="35">
        <v>0</v>
      </c>
      <c r="D110" s="36">
        <v>0.202005826</v>
      </c>
      <c r="E110" s="36">
        <v>-8.5603074400000007E-2</v>
      </c>
    </row>
    <row r="111" spans="2:5" x14ac:dyDescent="0.25">
      <c r="B111" s="35">
        <v>30</v>
      </c>
      <c r="C111" s="35">
        <v>0</v>
      </c>
      <c r="D111" s="36">
        <v>0.19927790000000001</v>
      </c>
      <c r="E111" s="36">
        <v>-8.4543543499999999E-2</v>
      </c>
    </row>
    <row r="112" spans="2:5" x14ac:dyDescent="0.25">
      <c r="B112" s="35">
        <v>30.25</v>
      </c>
      <c r="C112" s="35">
        <v>0</v>
      </c>
      <c r="D112" s="36">
        <v>0.19660205</v>
      </c>
      <c r="E112" s="36">
        <v>-8.3450203599999995E-2</v>
      </c>
    </row>
    <row r="113" spans="2:5" x14ac:dyDescent="0.25">
      <c r="B113" s="35">
        <v>30.5</v>
      </c>
      <c r="C113" s="35">
        <v>0</v>
      </c>
      <c r="D113" s="36">
        <v>0.19397484800000001</v>
      </c>
      <c r="E113" s="36">
        <v>-8.2323845399999998E-2</v>
      </c>
    </row>
    <row r="114" spans="2:5" x14ac:dyDescent="0.25">
      <c r="B114" s="35">
        <v>30.75</v>
      </c>
      <c r="C114" s="35">
        <v>0</v>
      </c>
      <c r="D114" s="36">
        <v>0.19139299300000001</v>
      </c>
      <c r="E114" s="36">
        <v>-8.1165258599999998E-2</v>
      </c>
    </row>
    <row r="115" spans="2:5" x14ac:dyDescent="0.25">
      <c r="B115" s="35">
        <v>31</v>
      </c>
      <c r="C115" s="35">
        <v>0</v>
      </c>
      <c r="D115" s="36">
        <v>0.18885310999999999</v>
      </c>
      <c r="E115" s="36">
        <v>-7.9975244799999998E-2</v>
      </c>
    </row>
    <row r="116" spans="2:5" x14ac:dyDescent="0.25">
      <c r="B116" s="35">
        <v>31.25</v>
      </c>
      <c r="C116" s="35">
        <v>0</v>
      </c>
      <c r="D116" s="36">
        <v>0.18635188999999999</v>
      </c>
      <c r="E116" s="36">
        <v>-7.8754601499999993E-2</v>
      </c>
    </row>
    <row r="117" spans="2:5" x14ac:dyDescent="0.25">
      <c r="B117" s="35">
        <v>31.5</v>
      </c>
      <c r="C117" s="35">
        <v>0</v>
      </c>
      <c r="D117" s="36">
        <v>0.18388453399999999</v>
      </c>
      <c r="E117" s="36">
        <v>-7.7504151100000002E-2</v>
      </c>
    </row>
    <row r="118" spans="2:5" x14ac:dyDescent="0.25">
      <c r="B118" s="35">
        <v>31.75</v>
      </c>
      <c r="C118" s="35">
        <v>0</v>
      </c>
      <c r="D118" s="36">
        <v>0.18144665300000001</v>
      </c>
      <c r="E118" s="36">
        <v>-7.62247276E-2</v>
      </c>
    </row>
    <row r="119" spans="2:5" x14ac:dyDescent="0.25">
      <c r="B119" s="35">
        <v>32</v>
      </c>
      <c r="C119" s="35">
        <v>0</v>
      </c>
      <c r="D119" s="36">
        <v>0.179035216</v>
      </c>
      <c r="E119" s="36">
        <v>-7.4917154499999999E-2</v>
      </c>
    </row>
    <row r="120" spans="2:5" x14ac:dyDescent="0.25">
      <c r="B120" s="35">
        <v>32.25</v>
      </c>
      <c r="C120" s="35">
        <v>0</v>
      </c>
      <c r="D120" s="36">
        <v>0.17664777600000001</v>
      </c>
      <c r="E120" s="36">
        <v>-7.3582258400000003E-2</v>
      </c>
    </row>
    <row r="121" spans="2:5" x14ac:dyDescent="0.25">
      <c r="B121" s="35">
        <v>32.5</v>
      </c>
      <c r="C121" s="35">
        <v>0</v>
      </c>
      <c r="D121" s="36">
        <v>0.174282619</v>
      </c>
      <c r="E121" s="36">
        <v>-7.2220901700000006E-2</v>
      </c>
    </row>
    <row r="122" spans="2:5" x14ac:dyDescent="0.25">
      <c r="B122" s="35">
        <v>32.75</v>
      </c>
      <c r="C122" s="35">
        <v>0</v>
      </c>
      <c r="D122" s="36">
        <v>0.17193921000000001</v>
      </c>
      <c r="E122" s="36">
        <v>-7.0833960299999998E-2</v>
      </c>
    </row>
    <row r="123" spans="2:5" x14ac:dyDescent="0.25">
      <c r="B123" s="35">
        <v>33</v>
      </c>
      <c r="C123" s="35">
        <v>0</v>
      </c>
      <c r="D123" s="36">
        <v>0.16961759300000001</v>
      </c>
      <c r="E123" s="36">
        <v>-6.9422303300000002E-2</v>
      </c>
    </row>
    <row r="124" spans="2:5" x14ac:dyDescent="0.25">
      <c r="B124" s="35">
        <v>33.25</v>
      </c>
      <c r="C124" s="35">
        <v>0</v>
      </c>
      <c r="D124" s="36">
        <v>0.16731692200000001</v>
      </c>
      <c r="E124" s="36">
        <v>-6.7986745200000004E-2</v>
      </c>
    </row>
    <row r="125" spans="2:5" x14ac:dyDescent="0.25">
      <c r="B125" s="35">
        <v>33.5</v>
      </c>
      <c r="C125" s="35">
        <v>0</v>
      </c>
      <c r="D125" s="36">
        <v>0.16503379100000001</v>
      </c>
      <c r="E125" s="36">
        <v>-6.6528004099999996E-2</v>
      </c>
    </row>
    <row r="126" spans="2:5" x14ac:dyDescent="0.25">
      <c r="B126" s="35">
        <v>33.75</v>
      </c>
      <c r="C126" s="35">
        <v>0</v>
      </c>
      <c r="D126" s="36">
        <v>0.162763614</v>
      </c>
      <c r="E126" s="36">
        <v>-6.5046702200000001E-2</v>
      </c>
    </row>
    <row r="127" spans="2:5" x14ac:dyDescent="0.25">
      <c r="B127" s="35">
        <v>34</v>
      </c>
      <c r="C127" s="35">
        <v>0</v>
      </c>
      <c r="D127" s="36">
        <v>0.160501484</v>
      </c>
      <c r="E127" s="36">
        <v>-6.3543387199999996E-2</v>
      </c>
    </row>
    <row r="128" spans="2:5" x14ac:dyDescent="0.25">
      <c r="B128" s="35">
        <v>34.25</v>
      </c>
      <c r="C128" s="35">
        <v>0</v>
      </c>
      <c r="D128" s="36">
        <v>0.15824237599999999</v>
      </c>
      <c r="E128" s="36">
        <v>-6.2018553900000002E-2</v>
      </c>
    </row>
    <row r="129" spans="2:5" x14ac:dyDescent="0.25">
      <c r="B129" s="35">
        <v>34.5</v>
      </c>
      <c r="C129" s="35">
        <v>0</v>
      </c>
      <c r="D129" s="36">
        <v>0.15598109499999999</v>
      </c>
      <c r="E129" s="36">
        <v>-6.0472678100000003E-2</v>
      </c>
    </row>
    <row r="130" spans="2:5" x14ac:dyDescent="0.25">
      <c r="B130" s="35">
        <v>34.75</v>
      </c>
      <c r="C130" s="35">
        <v>0</v>
      </c>
      <c r="D130" s="36">
        <v>0.153712865</v>
      </c>
      <c r="E130" s="36">
        <v>-5.8906201999999998E-2</v>
      </c>
    </row>
    <row r="131" spans="2:5" x14ac:dyDescent="0.25">
      <c r="B131" s="35">
        <v>35</v>
      </c>
      <c r="C131" s="35">
        <v>0</v>
      </c>
      <c r="D131" s="36">
        <v>0.15143397</v>
      </c>
      <c r="E131" s="36">
        <v>-5.73195471E-2</v>
      </c>
    </row>
    <row r="132" spans="2:5" x14ac:dyDescent="0.25">
      <c r="B132" s="35">
        <v>35.25</v>
      </c>
      <c r="C132" s="35">
        <v>0</v>
      </c>
      <c r="D132" s="36">
        <v>0.14914170800000001</v>
      </c>
      <c r="E132" s="36">
        <v>-5.5713138299999999E-2</v>
      </c>
    </row>
    <row r="133" spans="2:5" x14ac:dyDescent="0.25">
      <c r="B133" s="35">
        <v>35.5</v>
      </c>
      <c r="C133" s="35">
        <v>0</v>
      </c>
      <c r="D133" s="36">
        <v>0.14683392200000001</v>
      </c>
      <c r="E133" s="36">
        <v>-5.40874405E-2</v>
      </c>
    </row>
    <row r="134" spans="2:5" x14ac:dyDescent="0.25">
      <c r="B134" s="35">
        <v>35.75</v>
      </c>
      <c r="C134" s="35">
        <v>0</v>
      </c>
      <c r="D134" s="36">
        <v>0.144508944</v>
      </c>
      <c r="E134" s="36">
        <v>-5.2442908500000003E-2</v>
      </c>
    </row>
    <row r="135" spans="2:5" x14ac:dyDescent="0.25">
      <c r="B135" s="35">
        <v>36</v>
      </c>
      <c r="C135" s="35">
        <v>0</v>
      </c>
      <c r="D135" s="36">
        <v>0.14216626600000001</v>
      </c>
      <c r="E135" s="36">
        <v>-5.0779971399999999E-2</v>
      </c>
    </row>
    <row r="136" spans="2:5" x14ac:dyDescent="0.25">
      <c r="B136" s="35">
        <v>36.25</v>
      </c>
      <c r="C136" s="35">
        <v>0</v>
      </c>
      <c r="D136" s="36">
        <v>0.13980532200000001</v>
      </c>
      <c r="E136" s="36">
        <v>-4.9099055799999999E-2</v>
      </c>
    </row>
    <row r="137" spans="2:5" x14ac:dyDescent="0.25">
      <c r="B137" s="35">
        <v>36.5</v>
      </c>
      <c r="C137" s="35">
        <v>0</v>
      </c>
      <c r="D137" s="36">
        <v>0.13742485800000001</v>
      </c>
      <c r="E137" s="36">
        <v>-4.7400610000000003E-2</v>
      </c>
    </row>
    <row r="138" spans="2:5" x14ac:dyDescent="0.25">
      <c r="B138" s="35">
        <v>36.75</v>
      </c>
      <c r="C138" s="35">
        <v>0</v>
      </c>
      <c r="D138" s="36">
        <v>0.13502315000000001</v>
      </c>
      <c r="E138" s="36">
        <v>-4.56850876E-2</v>
      </c>
    </row>
    <row r="139" spans="2:5" x14ac:dyDescent="0.25">
      <c r="B139" s="35">
        <v>37</v>
      </c>
      <c r="C139" s="35">
        <v>0</v>
      </c>
      <c r="D139" s="36">
        <v>0.13259818200000001</v>
      </c>
      <c r="E139" s="36">
        <v>-4.3952917199999997E-2</v>
      </c>
    </row>
    <row r="140" spans="2:5" x14ac:dyDescent="0.25">
      <c r="B140" s="35">
        <v>37.25</v>
      </c>
      <c r="C140" s="35">
        <v>0</v>
      </c>
      <c r="D140" s="36">
        <v>0.13014848400000001</v>
      </c>
      <c r="E140" s="36">
        <v>-4.2204512E-2</v>
      </c>
    </row>
    <row r="141" spans="2:5" x14ac:dyDescent="0.25">
      <c r="B141" s="35">
        <v>37.5</v>
      </c>
      <c r="C141" s="35">
        <v>0</v>
      </c>
      <c r="D141" s="36">
        <v>0.12767270999999999</v>
      </c>
      <c r="E141" s="36">
        <v>-4.0440287599999999E-2</v>
      </c>
    </row>
    <row r="142" spans="2:5" x14ac:dyDescent="0.25">
      <c r="B142" s="35">
        <v>37.75</v>
      </c>
      <c r="C142" s="35">
        <v>0</v>
      </c>
      <c r="D142" s="36">
        <v>0.125169594</v>
      </c>
      <c r="E142" s="36">
        <v>-3.8660653900000001E-2</v>
      </c>
    </row>
    <row r="143" spans="2:5" x14ac:dyDescent="0.25">
      <c r="B143" s="35">
        <v>38</v>
      </c>
      <c r="C143" s="35">
        <v>0</v>
      </c>
      <c r="D143" s="36">
        <v>0.122638151</v>
      </c>
      <c r="E143" s="36">
        <v>-3.6866022900000003E-2</v>
      </c>
    </row>
    <row r="144" spans="2:5" x14ac:dyDescent="0.25">
      <c r="B144" s="35">
        <v>38.25</v>
      </c>
      <c r="C144" s="35">
        <v>0</v>
      </c>
      <c r="D144" s="36">
        <v>0.120077243</v>
      </c>
      <c r="E144" s="36">
        <v>-3.5056813899999997E-2</v>
      </c>
    </row>
    <row r="145" spans="2:5" x14ac:dyDescent="0.25">
      <c r="B145" s="35">
        <v>38.5</v>
      </c>
      <c r="C145" s="35">
        <v>0</v>
      </c>
      <c r="D145" s="36">
        <v>0.11748547400000001</v>
      </c>
      <c r="E145" s="36">
        <v>-3.3233460100000001E-2</v>
      </c>
    </row>
    <row r="146" spans="2:5" x14ac:dyDescent="0.25">
      <c r="B146" s="35">
        <v>38.75</v>
      </c>
      <c r="C146" s="35">
        <v>0</v>
      </c>
      <c r="D146" s="36">
        <v>0.114861554</v>
      </c>
      <c r="E146" s="36">
        <v>-3.1396396299999997E-2</v>
      </c>
    </row>
    <row r="147" spans="2:5" x14ac:dyDescent="0.25">
      <c r="B147" s="35">
        <v>39</v>
      </c>
      <c r="C147" s="35">
        <v>0</v>
      </c>
      <c r="D147" s="36">
        <v>0.112204258</v>
      </c>
      <c r="E147" s="36">
        <v>-2.95460406E-2</v>
      </c>
    </row>
    <row r="148" spans="2:5" x14ac:dyDescent="0.25">
      <c r="B148" s="35">
        <v>39.25</v>
      </c>
      <c r="C148" s="35">
        <v>0</v>
      </c>
      <c r="D148" s="36">
        <v>0.109512478</v>
      </c>
      <c r="E148" s="36">
        <v>-2.7682798799999998E-2</v>
      </c>
    </row>
    <row r="149" spans="2:5" x14ac:dyDescent="0.25">
      <c r="B149" s="35">
        <v>39.5</v>
      </c>
      <c r="C149" s="35">
        <v>0</v>
      </c>
      <c r="D149" s="36">
        <v>0.10678488</v>
      </c>
      <c r="E149" s="36">
        <v>-2.5807061499999999E-2</v>
      </c>
    </row>
    <row r="150" spans="2:5" x14ac:dyDescent="0.25">
      <c r="B150" s="35">
        <v>39.75</v>
      </c>
      <c r="C150" s="35">
        <v>0</v>
      </c>
      <c r="D150" s="36">
        <v>0.104020206</v>
      </c>
      <c r="E150" s="36">
        <v>-2.3919220200000001E-2</v>
      </c>
    </row>
    <row r="151" spans="2:5" x14ac:dyDescent="0.25">
      <c r="B151" s="35">
        <v>40</v>
      </c>
      <c r="C151" s="35">
        <v>0</v>
      </c>
      <c r="D151" s="36">
        <v>0.10121764900000001</v>
      </c>
      <c r="E151" s="36">
        <v>-2.20196616E-2</v>
      </c>
    </row>
    <row r="152" spans="2:5" x14ac:dyDescent="0.25">
      <c r="B152" s="35">
        <v>40.25</v>
      </c>
      <c r="C152" s="35">
        <v>0</v>
      </c>
      <c r="D152" s="36">
        <v>9.8377066999999999E-2</v>
      </c>
      <c r="E152" s="36">
        <v>-2.0108776799999999E-2</v>
      </c>
    </row>
    <row r="153" spans="2:5" x14ac:dyDescent="0.25">
      <c r="B153" s="35">
        <v>40.5</v>
      </c>
      <c r="C153" s="35">
        <v>0</v>
      </c>
      <c r="D153" s="36">
        <v>9.5498465000000005E-2</v>
      </c>
      <c r="E153" s="36">
        <v>-1.8186978699999998E-2</v>
      </c>
    </row>
    <row r="154" spans="2:5" x14ac:dyDescent="0.25">
      <c r="B154" s="35">
        <v>40.75</v>
      </c>
      <c r="C154" s="35">
        <v>0</v>
      </c>
      <c r="D154" s="36">
        <v>9.2582225000000004E-2</v>
      </c>
      <c r="E154" s="36">
        <v>-1.6254664200000001E-2</v>
      </c>
    </row>
    <row r="155" spans="2:5" x14ac:dyDescent="0.25">
      <c r="B155" s="35">
        <v>41</v>
      </c>
      <c r="C155" s="35">
        <v>0</v>
      </c>
      <c r="D155" s="36">
        <v>8.9629449999999999E-2</v>
      </c>
      <c r="E155" s="36">
        <v>-1.4312211300000001E-2</v>
      </c>
    </row>
    <row r="156" spans="2:5" x14ac:dyDescent="0.25">
      <c r="B156" s="35">
        <v>41.25</v>
      </c>
      <c r="C156" s="35">
        <v>0</v>
      </c>
      <c r="D156" s="36">
        <v>8.6641283999999999E-2</v>
      </c>
      <c r="E156" s="36">
        <v>-1.2359990100000001E-2</v>
      </c>
    </row>
    <row r="157" spans="2:5" x14ac:dyDescent="0.25">
      <c r="B157" s="35">
        <v>41.5</v>
      </c>
      <c r="C157" s="35">
        <v>0</v>
      </c>
      <c r="D157" s="36">
        <v>8.3618240999999996E-2</v>
      </c>
      <c r="E157" s="36">
        <v>-1.0398367400000001E-2</v>
      </c>
    </row>
    <row r="158" spans="2:5" x14ac:dyDescent="0.25">
      <c r="B158" s="35">
        <v>41.75</v>
      </c>
      <c r="C158" s="35">
        <v>0</v>
      </c>
      <c r="D158" s="36">
        <v>8.0560223E-2</v>
      </c>
      <c r="E158" s="36">
        <v>-8.4277028000000007E-3</v>
      </c>
    </row>
    <row r="159" spans="2:5" x14ac:dyDescent="0.25">
      <c r="B159" s="35">
        <v>42</v>
      </c>
      <c r="C159" s="35">
        <v>0</v>
      </c>
      <c r="D159" s="36">
        <v>7.7467071999999998E-2</v>
      </c>
      <c r="E159" s="36">
        <v>-6.4483587000000002E-3</v>
      </c>
    </row>
    <row r="160" spans="2:5" x14ac:dyDescent="0.25">
      <c r="B160" s="35">
        <v>42.25</v>
      </c>
      <c r="C160" s="35">
        <v>0</v>
      </c>
      <c r="D160" s="36">
        <v>7.4338690999999998E-2</v>
      </c>
      <c r="E160" s="36">
        <v>-4.4606945999999996E-3</v>
      </c>
    </row>
    <row r="161" spans="2:5" x14ac:dyDescent="0.25">
      <c r="B161" s="35">
        <v>42.5</v>
      </c>
      <c r="C161" s="35">
        <v>0</v>
      </c>
      <c r="D161" s="36">
        <v>7.1174767999999999E-2</v>
      </c>
      <c r="E161" s="36">
        <v>-2.4650493000000001E-3</v>
      </c>
    </row>
    <row r="162" spans="2:5" x14ac:dyDescent="0.25">
      <c r="B162" s="35">
        <v>42.75</v>
      </c>
      <c r="C162" s="35">
        <v>0</v>
      </c>
      <c r="D162" s="36">
        <v>6.7975087000000003E-2</v>
      </c>
      <c r="E162" s="36">
        <v>-4.6175449999999999E-4</v>
      </c>
    </row>
    <row r="163" spans="2:5" x14ac:dyDescent="0.25">
      <c r="B163" s="35">
        <v>43</v>
      </c>
      <c r="C163" s="35">
        <v>0</v>
      </c>
      <c r="D163" s="36">
        <v>6.4739562E-2</v>
      </c>
      <c r="E163" s="36">
        <v>1.5488571000000001E-3</v>
      </c>
    </row>
    <row r="164" spans="2:5" x14ac:dyDescent="0.25">
      <c r="B164" s="35">
        <v>43.25</v>
      </c>
      <c r="C164" s="35">
        <v>0</v>
      </c>
      <c r="D164" s="36">
        <v>6.1468007999999998E-2</v>
      </c>
      <c r="E164" s="36">
        <v>3.5664639000000001E-3</v>
      </c>
    </row>
    <row r="165" spans="2:5" x14ac:dyDescent="0.25">
      <c r="B165" s="35">
        <v>43.5</v>
      </c>
      <c r="C165" s="35">
        <v>0</v>
      </c>
      <c r="D165" s="36">
        <v>5.8159769E-2</v>
      </c>
      <c r="E165" s="36">
        <v>5.5907789999999997E-3</v>
      </c>
    </row>
    <row r="166" spans="2:5" x14ac:dyDescent="0.25">
      <c r="B166" s="35">
        <v>43.75</v>
      </c>
      <c r="C166" s="35">
        <v>0</v>
      </c>
      <c r="D166" s="36">
        <v>5.4814027000000001E-2</v>
      </c>
      <c r="E166" s="36">
        <v>7.6215296000000004E-3</v>
      </c>
    </row>
    <row r="167" spans="2:5" x14ac:dyDescent="0.25">
      <c r="B167" s="35">
        <v>44</v>
      </c>
      <c r="C167" s="35">
        <v>0</v>
      </c>
      <c r="D167" s="36">
        <v>5.1429951000000002E-2</v>
      </c>
      <c r="E167" s="36">
        <v>9.6584442999999992E-3</v>
      </c>
    </row>
    <row r="168" spans="2:5" x14ac:dyDescent="0.25">
      <c r="B168" s="35">
        <v>44.25</v>
      </c>
      <c r="C168" s="35">
        <v>0</v>
      </c>
      <c r="D168" s="36">
        <v>4.8006505999999997E-2</v>
      </c>
      <c r="E168" s="36">
        <v>1.17012486E-2</v>
      </c>
    </row>
    <row r="169" spans="2:5" x14ac:dyDescent="0.25">
      <c r="B169" s="35">
        <v>44.5</v>
      </c>
      <c r="C169" s="35">
        <v>0</v>
      </c>
      <c r="D169" s="36">
        <v>4.4542169E-2</v>
      </c>
      <c r="E169" s="36">
        <v>1.37496684E-2</v>
      </c>
    </row>
    <row r="170" spans="2:5" x14ac:dyDescent="0.25">
      <c r="B170" s="35">
        <v>44.75</v>
      </c>
      <c r="C170" s="35">
        <v>0</v>
      </c>
      <c r="D170" s="36">
        <v>4.1035317000000002E-2</v>
      </c>
      <c r="E170" s="36">
        <v>1.5803435300000002E-2</v>
      </c>
    </row>
    <row r="171" spans="2:5" x14ac:dyDescent="0.25">
      <c r="B171" s="35">
        <v>45</v>
      </c>
      <c r="C171" s="35">
        <v>0</v>
      </c>
      <c r="D171" s="36">
        <v>3.7484179999999999E-2</v>
      </c>
      <c r="E171" s="36">
        <v>1.7862284400000001E-2</v>
      </c>
    </row>
    <row r="172" spans="2:5" x14ac:dyDescent="0.25">
      <c r="B172" s="35">
        <v>45.25</v>
      </c>
      <c r="C172" s="35">
        <v>0</v>
      </c>
      <c r="D172" s="36">
        <v>3.3886734000000002E-2</v>
      </c>
      <c r="E172" s="36">
        <v>1.99259507E-2</v>
      </c>
    </row>
    <row r="173" spans="2:5" x14ac:dyDescent="0.25">
      <c r="B173" s="35">
        <v>45.5</v>
      </c>
      <c r="C173" s="35">
        <v>0</v>
      </c>
      <c r="D173" s="36">
        <v>3.0240605E-2</v>
      </c>
      <c r="E173" s="36">
        <v>2.1994175000000001E-2</v>
      </c>
    </row>
    <row r="174" spans="2:5" x14ac:dyDescent="0.25">
      <c r="B174" s="35">
        <v>45.75</v>
      </c>
      <c r="C174" s="35">
        <v>0</v>
      </c>
      <c r="D174" s="36">
        <v>2.6543337E-2</v>
      </c>
      <c r="E174" s="36">
        <v>2.4066703299999999E-2</v>
      </c>
    </row>
    <row r="175" spans="2:5" x14ac:dyDescent="0.25">
      <c r="B175" s="35">
        <v>46</v>
      </c>
      <c r="C175" s="35">
        <v>0</v>
      </c>
      <c r="D175" s="36">
        <v>2.2792544000000001E-2</v>
      </c>
      <c r="E175" s="36">
        <v>2.61432869E-2</v>
      </c>
    </row>
    <row r="176" spans="2:5" x14ac:dyDescent="0.25">
      <c r="B176" s="35">
        <v>46.25</v>
      </c>
      <c r="C176" s="35">
        <v>0</v>
      </c>
      <c r="D176" s="36">
        <v>1.8985970000000001E-2</v>
      </c>
      <c r="E176" s="36">
        <v>2.82236734E-2</v>
      </c>
    </row>
    <row r="177" spans="2:5" x14ac:dyDescent="0.25">
      <c r="B177" s="35">
        <v>46.5</v>
      </c>
      <c r="C177" s="35">
        <v>0</v>
      </c>
      <c r="D177" s="36">
        <v>1.5121691E-2</v>
      </c>
      <c r="E177" s="36">
        <v>3.0307612599999999E-2</v>
      </c>
    </row>
    <row r="178" spans="2:5" x14ac:dyDescent="0.25">
      <c r="B178" s="35">
        <v>46.75</v>
      </c>
      <c r="C178" s="35">
        <v>0</v>
      </c>
      <c r="D178" s="36">
        <v>1.1198240999999999E-2</v>
      </c>
      <c r="E178" s="36">
        <v>3.23948623E-2</v>
      </c>
    </row>
    <row r="179" spans="2:5" x14ac:dyDescent="0.25">
      <c r="B179" s="35">
        <v>47</v>
      </c>
      <c r="C179" s="35">
        <v>0</v>
      </c>
      <c r="D179" s="36">
        <v>7.2143379999999998E-3</v>
      </c>
      <c r="E179" s="36">
        <v>3.4485180999999997E-2</v>
      </c>
    </row>
    <row r="180" spans="2:5" x14ac:dyDescent="0.25">
      <c r="B180" s="35">
        <v>47.25</v>
      </c>
      <c r="C180" s="35">
        <v>0</v>
      </c>
      <c r="D180" s="36">
        <v>3.1687130000000001E-3</v>
      </c>
      <c r="E180" s="36">
        <v>3.6578334699999999E-2</v>
      </c>
    </row>
    <row r="181" spans="2:5" x14ac:dyDescent="0.25">
      <c r="B181" s="35">
        <v>47.5</v>
      </c>
      <c r="C181" s="35">
        <v>0</v>
      </c>
      <c r="D181" s="36">
        <v>-9.3993199999999999E-4</v>
      </c>
      <c r="E181" s="36">
        <v>3.8674097300000002E-2</v>
      </c>
    </row>
    <row r="182" spans="2:5" x14ac:dyDescent="0.25">
      <c r="B182" s="35">
        <v>47.75</v>
      </c>
      <c r="C182" s="35">
        <v>0</v>
      </c>
      <c r="D182" s="36">
        <v>-5.1126569999999996E-3</v>
      </c>
      <c r="E182" s="36">
        <v>4.0772246999999998E-2</v>
      </c>
    </row>
    <row r="183" spans="2:5" x14ac:dyDescent="0.25">
      <c r="B183" s="35">
        <v>48</v>
      </c>
      <c r="C183" s="35">
        <v>0</v>
      </c>
      <c r="D183" s="36">
        <v>-9.3503960000000004E-3</v>
      </c>
      <c r="E183" s="36">
        <v>4.2872564100000003E-2</v>
      </c>
    </row>
    <row r="184" spans="2:5" x14ac:dyDescent="0.25">
      <c r="B184" s="35">
        <v>48.25</v>
      </c>
      <c r="C184" s="35">
        <v>0</v>
      </c>
      <c r="D184" s="36">
        <v>-1.3654005E-2</v>
      </c>
      <c r="E184" s="36">
        <v>4.4974832800000003E-2</v>
      </c>
    </row>
    <row r="185" spans="2:5" x14ac:dyDescent="0.25">
      <c r="B185" s="35">
        <v>48.5</v>
      </c>
      <c r="C185" s="35">
        <v>0</v>
      </c>
      <c r="D185" s="36">
        <v>-1.8024541000000002E-2</v>
      </c>
      <c r="E185" s="36">
        <v>4.7078844000000002E-2</v>
      </c>
    </row>
    <row r="186" spans="2:5" x14ac:dyDescent="0.25">
      <c r="B186" s="35">
        <v>48.75</v>
      </c>
      <c r="C186" s="35">
        <v>0</v>
      </c>
      <c r="D186" s="36">
        <v>-2.2463029999999998E-2</v>
      </c>
      <c r="E186" s="36">
        <v>4.9184390600000003E-2</v>
      </c>
    </row>
    <row r="187" spans="2:5" x14ac:dyDescent="0.25">
      <c r="B187" s="35">
        <v>49</v>
      </c>
      <c r="C187" s="35">
        <v>0</v>
      </c>
      <c r="D187" s="36">
        <v>-2.6970141999999999E-2</v>
      </c>
      <c r="E187" s="36">
        <v>5.1291265599999997E-2</v>
      </c>
    </row>
    <row r="188" spans="2:5" x14ac:dyDescent="0.25">
      <c r="B188" s="35">
        <v>49.25</v>
      </c>
      <c r="C188" s="35">
        <v>0</v>
      </c>
      <c r="D188" s="36">
        <v>-3.1546267000000003E-2</v>
      </c>
      <c r="E188" s="36">
        <v>5.3399260599999998E-2</v>
      </c>
    </row>
    <row r="189" spans="2:5" x14ac:dyDescent="0.25">
      <c r="B189" s="35">
        <v>49.5</v>
      </c>
      <c r="C189" s="35">
        <v>0</v>
      </c>
      <c r="D189" s="36">
        <v>-3.6191436E-2</v>
      </c>
      <c r="E189" s="36">
        <v>5.5508172299999999E-2</v>
      </c>
    </row>
    <row r="190" spans="2:5" x14ac:dyDescent="0.25">
      <c r="B190" s="35">
        <v>49.75</v>
      </c>
      <c r="C190" s="35">
        <v>0</v>
      </c>
      <c r="D190" s="36">
        <v>-4.0905481E-2</v>
      </c>
      <c r="E190" s="36">
        <v>5.7617802500000002E-2</v>
      </c>
    </row>
    <row r="191" spans="2:5" x14ac:dyDescent="0.25">
      <c r="B191" s="35">
        <v>50</v>
      </c>
      <c r="C191" s="35">
        <v>0</v>
      </c>
      <c r="D191" s="36">
        <v>-4.5688325000000002E-2</v>
      </c>
      <c r="E191" s="36">
        <v>5.9727952600000002E-2</v>
      </c>
    </row>
    <row r="192" spans="2:5" x14ac:dyDescent="0.25">
      <c r="B192" s="35">
        <v>50.25</v>
      </c>
      <c r="C192" s="35">
        <v>0</v>
      </c>
      <c r="D192" s="36">
        <v>-5.0539765E-2</v>
      </c>
      <c r="E192" s="36">
        <v>6.1838426000000002E-2</v>
      </c>
    </row>
    <row r="193" spans="2:5" x14ac:dyDescent="0.25">
      <c r="B193" s="35">
        <v>50.5</v>
      </c>
      <c r="C193" s="35">
        <v>0</v>
      </c>
      <c r="D193" s="36">
        <v>-5.5459380000000003E-2</v>
      </c>
      <c r="E193" s="36">
        <v>6.3949029099999999E-2</v>
      </c>
    </row>
    <row r="194" spans="2:5" x14ac:dyDescent="0.25">
      <c r="B194" s="35">
        <v>50.75</v>
      </c>
      <c r="C194" s="35">
        <v>0</v>
      </c>
      <c r="D194" s="36">
        <v>-6.0446655000000002E-2</v>
      </c>
      <c r="E194" s="36">
        <v>6.60595769E-2</v>
      </c>
    </row>
    <row r="195" spans="2:5" x14ac:dyDescent="0.25">
      <c r="B195" s="35">
        <v>51</v>
      </c>
      <c r="C195" s="35">
        <v>0</v>
      </c>
      <c r="D195" s="36">
        <v>-6.5500979000000001E-2</v>
      </c>
      <c r="E195" s="36">
        <v>6.8169892400000001E-2</v>
      </c>
    </row>
    <row r="196" spans="2:5" x14ac:dyDescent="0.25">
      <c r="B196" s="35">
        <v>51.25</v>
      </c>
      <c r="C196" s="35">
        <v>0</v>
      </c>
      <c r="D196" s="36">
        <v>-7.0621629000000005E-2</v>
      </c>
      <c r="E196" s="36">
        <v>7.0279802599999996E-2</v>
      </c>
    </row>
    <row r="197" spans="2:5" x14ac:dyDescent="0.25">
      <c r="B197" s="35">
        <v>51.5</v>
      </c>
      <c r="C197" s="35">
        <v>0</v>
      </c>
      <c r="D197" s="36">
        <v>-7.5807622000000005E-2</v>
      </c>
      <c r="E197" s="36">
        <v>7.2389145700000004E-2</v>
      </c>
    </row>
    <row r="198" spans="2:5" x14ac:dyDescent="0.25">
      <c r="B198" s="35">
        <v>51.75</v>
      </c>
      <c r="C198" s="35">
        <v>0</v>
      </c>
      <c r="D198" s="36">
        <v>-8.1057783999999994E-2</v>
      </c>
      <c r="E198" s="36">
        <v>7.4497765800000004E-2</v>
      </c>
    </row>
    <row r="199" spans="2:5" x14ac:dyDescent="0.25">
      <c r="B199" s="35">
        <v>52</v>
      </c>
      <c r="C199" s="35">
        <v>0</v>
      </c>
      <c r="D199" s="36">
        <v>-8.6370905999999997E-2</v>
      </c>
      <c r="E199" s="36">
        <v>7.6605504500000005E-2</v>
      </c>
    </row>
    <row r="200" spans="2:5" x14ac:dyDescent="0.25">
      <c r="B200" s="35">
        <v>52.25</v>
      </c>
      <c r="C200" s="35">
        <v>0</v>
      </c>
      <c r="D200" s="36">
        <v>-9.1745744000000004E-2</v>
      </c>
      <c r="E200" s="36">
        <v>7.8712207300000003E-2</v>
      </c>
    </row>
    <row r="201" spans="2:5" x14ac:dyDescent="0.25">
      <c r="B201" s="35">
        <v>52.5</v>
      </c>
      <c r="C201" s="35">
        <v>0</v>
      </c>
      <c r="D201" s="36">
        <v>-9.7181323999999999E-2</v>
      </c>
      <c r="E201" s="36">
        <v>8.0817740599999993E-2</v>
      </c>
    </row>
    <row r="202" spans="2:5" x14ac:dyDescent="0.25">
      <c r="B202" s="35">
        <v>52.75</v>
      </c>
      <c r="C202" s="35">
        <v>0</v>
      </c>
      <c r="D202" s="36">
        <v>-0.102676773</v>
      </c>
      <c r="E202" s="36">
        <v>8.2921974300000006E-2</v>
      </c>
    </row>
    <row r="203" spans="2:5" x14ac:dyDescent="0.25">
      <c r="B203" s="35">
        <v>53</v>
      </c>
      <c r="C203" s="35">
        <v>0</v>
      </c>
      <c r="D203" s="36">
        <v>-0.10823120899999999</v>
      </c>
      <c r="E203" s="36">
        <v>8.5024774799999994E-2</v>
      </c>
    </row>
    <row r="204" spans="2:5" x14ac:dyDescent="0.25">
      <c r="B204" s="35">
        <v>53.25</v>
      </c>
      <c r="C204" s="35">
        <v>0</v>
      </c>
      <c r="D204" s="36">
        <v>-0.113843739</v>
      </c>
      <c r="E204" s="36">
        <v>8.7126009599999998E-2</v>
      </c>
    </row>
    <row r="205" spans="2:5" x14ac:dyDescent="0.25">
      <c r="B205" s="35">
        <v>53.5</v>
      </c>
      <c r="C205" s="35">
        <v>0</v>
      </c>
      <c r="D205" s="36">
        <v>-0.11951326600000001</v>
      </c>
      <c r="E205" s="36">
        <v>8.9225549700000004E-2</v>
      </c>
    </row>
    <row r="206" spans="2:5" x14ac:dyDescent="0.25">
      <c r="B206" s="35">
        <v>53.75</v>
      </c>
      <c r="C206" s="35">
        <v>0</v>
      </c>
      <c r="D206" s="36">
        <v>-0.12523851</v>
      </c>
      <c r="E206" s="36">
        <v>9.1323268700000002E-2</v>
      </c>
    </row>
    <row r="207" spans="2:5" x14ac:dyDescent="0.25">
      <c r="B207" s="35">
        <v>54</v>
      </c>
      <c r="C207" s="35">
        <v>0</v>
      </c>
      <c r="D207" s="36">
        <v>-0.13101813700000001</v>
      </c>
      <c r="E207" s="36">
        <v>9.3419040699999997E-2</v>
      </c>
    </row>
    <row r="208" spans="2:5" x14ac:dyDescent="0.25">
      <c r="B208" s="35">
        <v>54.25</v>
      </c>
      <c r="C208" s="35">
        <v>0</v>
      </c>
      <c r="D208" s="36">
        <v>-0.136850789</v>
      </c>
      <c r="E208" s="36">
        <v>9.5512743600000005E-2</v>
      </c>
    </row>
    <row r="209" spans="2:5" x14ac:dyDescent="0.25">
      <c r="B209" s="35">
        <v>54.5</v>
      </c>
      <c r="C209" s="35">
        <v>0</v>
      </c>
      <c r="D209" s="36">
        <v>-0.142734994</v>
      </c>
      <c r="E209" s="36">
        <v>9.7604265600000004E-2</v>
      </c>
    </row>
    <row r="210" spans="2:5" x14ac:dyDescent="0.25">
      <c r="B210" s="35">
        <v>54.75</v>
      </c>
      <c r="C210" s="35">
        <v>0</v>
      </c>
      <c r="D210" s="36">
        <v>-0.148669043</v>
      </c>
      <c r="E210" s="36">
        <v>9.9693503200000005E-2</v>
      </c>
    </row>
    <row r="211" spans="2:5" x14ac:dyDescent="0.25">
      <c r="B211" s="35">
        <v>55</v>
      </c>
      <c r="C211" s="35">
        <v>0</v>
      </c>
      <c r="D211" s="36">
        <v>-0.15465110300000001</v>
      </c>
      <c r="E211" s="36">
        <v>0.1017803528</v>
      </c>
    </row>
    <row r="212" spans="2:5" x14ac:dyDescent="0.25">
      <c r="B212" s="35">
        <v>55.25</v>
      </c>
      <c r="C212" s="35">
        <v>0</v>
      </c>
      <c r="D212" s="36">
        <v>-0.16067943500000001</v>
      </c>
      <c r="E212" s="36">
        <v>0.1038647137</v>
      </c>
    </row>
    <row r="213" spans="2:5" x14ac:dyDescent="0.25">
      <c r="B213" s="35">
        <v>55.5</v>
      </c>
      <c r="C213" s="35">
        <v>0</v>
      </c>
      <c r="D213" s="36">
        <v>-0.166752452</v>
      </c>
      <c r="E213" s="36">
        <v>0.10594649539999999</v>
      </c>
    </row>
    <row r="214" spans="2:5" x14ac:dyDescent="0.25">
      <c r="B214" s="35">
        <v>55.75</v>
      </c>
      <c r="C214" s="35">
        <v>0</v>
      </c>
      <c r="D214" s="36">
        <v>-0.17286857</v>
      </c>
      <c r="E214" s="36">
        <v>0.1080256131</v>
      </c>
    </row>
    <row r="215" spans="2:5" x14ac:dyDescent="0.25">
      <c r="B215" s="35">
        <v>56</v>
      </c>
      <c r="C215" s="35">
        <v>0</v>
      </c>
      <c r="D215" s="36">
        <v>-0.179026253</v>
      </c>
      <c r="E215" s="36">
        <v>0.1101019818</v>
      </c>
    </row>
    <row r="216" spans="2:5" x14ac:dyDescent="0.25">
      <c r="B216" s="35">
        <v>56.25</v>
      </c>
      <c r="C216" s="35">
        <v>0</v>
      </c>
      <c r="D216" s="36">
        <v>-0.18522390699999999</v>
      </c>
      <c r="E216" s="36">
        <v>0.11217551739999999</v>
      </c>
    </row>
    <row r="217" spans="2:5" x14ac:dyDescent="0.25">
      <c r="B217" s="35">
        <v>56.5</v>
      </c>
      <c r="C217" s="35">
        <v>0</v>
      </c>
      <c r="D217" s="36">
        <v>-0.19145989399999999</v>
      </c>
      <c r="E217" s="36">
        <v>0.1142461422</v>
      </c>
    </row>
    <row r="218" spans="2:5" x14ac:dyDescent="0.25">
      <c r="B218" s="35">
        <v>56.75</v>
      </c>
      <c r="C218" s="35">
        <v>0</v>
      </c>
      <c r="D218" s="36">
        <v>-0.19773264400000001</v>
      </c>
      <c r="E218" s="36">
        <v>0.1163137811</v>
      </c>
    </row>
    <row r="219" spans="2:5" x14ac:dyDescent="0.25">
      <c r="B219" s="35">
        <v>57</v>
      </c>
      <c r="C219" s="35">
        <v>0</v>
      </c>
      <c r="D219" s="36">
        <v>-0.20404060199999999</v>
      </c>
      <c r="E219" s="36">
        <v>0.1183783596</v>
      </c>
    </row>
    <row r="220" spans="2:5" x14ac:dyDescent="0.25">
      <c r="B220" s="35">
        <v>57.25</v>
      </c>
      <c r="C220" s="35">
        <v>0</v>
      </c>
      <c r="D220" s="36">
        <v>-0.21038215299999999</v>
      </c>
      <c r="E220" s="36">
        <v>0.12043980410000001</v>
      </c>
    </row>
    <row r="221" spans="2:5" x14ac:dyDescent="0.25">
      <c r="B221" s="35">
        <v>57.5</v>
      </c>
      <c r="C221" s="35">
        <v>0</v>
      </c>
      <c r="D221" s="36">
        <v>-0.21675587900000001</v>
      </c>
      <c r="E221" s="36">
        <v>0.12249804409999999</v>
      </c>
    </row>
    <row r="222" spans="2:5" x14ac:dyDescent="0.25">
      <c r="B222" s="35">
        <v>57.75</v>
      </c>
      <c r="C222" s="35">
        <v>0</v>
      </c>
      <c r="D222" s="36">
        <v>-0.223160419</v>
      </c>
      <c r="E222" s="36">
        <v>0.1245530099</v>
      </c>
    </row>
    <row r="223" spans="2:5" x14ac:dyDescent="0.25">
      <c r="B223" s="35">
        <v>58</v>
      </c>
      <c r="C223" s="35">
        <v>0</v>
      </c>
      <c r="D223" s="36">
        <v>-0.22959443900000001</v>
      </c>
      <c r="E223" s="36">
        <v>0.12660463220000001</v>
      </c>
    </row>
    <row r="224" spans="2:5" x14ac:dyDescent="0.25">
      <c r="B224" s="35">
        <v>58.25</v>
      </c>
      <c r="C224" s="35">
        <v>0</v>
      </c>
      <c r="D224" s="36">
        <v>-0.23605655</v>
      </c>
      <c r="E224" s="36">
        <v>0.1286528411</v>
      </c>
    </row>
    <row r="225" spans="2:5" x14ac:dyDescent="0.25">
      <c r="B225" s="35">
        <v>58.5</v>
      </c>
      <c r="C225" s="35">
        <v>0</v>
      </c>
      <c r="D225" s="36">
        <v>-0.242545283</v>
      </c>
      <c r="E225" s="36">
        <v>0.13069756599999999</v>
      </c>
    </row>
    <row r="226" spans="2:5" x14ac:dyDescent="0.25">
      <c r="B226" s="35">
        <v>58.75</v>
      </c>
      <c r="C226" s="35">
        <v>0</v>
      </c>
      <c r="D226" s="36">
        <v>-0.24905918199999999</v>
      </c>
      <c r="E226" s="36">
        <v>0.13273873589999999</v>
      </c>
    </row>
    <row r="227" spans="2:5" x14ac:dyDescent="0.25">
      <c r="B227" s="35">
        <v>59</v>
      </c>
      <c r="C227" s="35">
        <v>0</v>
      </c>
      <c r="D227" s="36">
        <v>-0.25559675700000001</v>
      </c>
      <c r="E227" s="36">
        <v>0.134776281</v>
      </c>
    </row>
    <row r="228" spans="2:5" x14ac:dyDescent="0.25">
      <c r="B228" s="35">
        <v>59.25</v>
      </c>
      <c r="C228" s="35">
        <v>0</v>
      </c>
      <c r="D228" s="36">
        <v>-0.26215642700000003</v>
      </c>
      <c r="E228" s="36">
        <v>0.13681013140000001</v>
      </c>
    </row>
    <row r="229" spans="2:5" x14ac:dyDescent="0.25">
      <c r="B229" s="35">
        <v>59.5</v>
      </c>
      <c r="C229" s="35">
        <v>0</v>
      </c>
      <c r="D229" s="36">
        <v>-0.26873657899999998</v>
      </c>
      <c r="E229" s="36">
        <v>0.13884021099999999</v>
      </c>
    </row>
    <row r="230" spans="2:5" x14ac:dyDescent="0.25">
      <c r="B230" s="35">
        <v>59.75</v>
      </c>
      <c r="C230" s="35">
        <v>0</v>
      </c>
      <c r="D230" s="36">
        <v>-0.275335522</v>
      </c>
      <c r="E230" s="36">
        <v>0.1408664419</v>
      </c>
    </row>
    <row r="231" spans="2:5" x14ac:dyDescent="0.25">
      <c r="B231" s="35">
        <v>60</v>
      </c>
      <c r="C231" s="35">
        <v>0</v>
      </c>
      <c r="D231" s="36">
        <v>-0.28195147399999998</v>
      </c>
      <c r="E231" s="36">
        <v>0.14288874530000001</v>
      </c>
    </row>
    <row r="232" spans="2:5" x14ac:dyDescent="0.25">
      <c r="B232" s="35">
        <v>60.25</v>
      </c>
      <c r="C232" s="35">
        <v>0</v>
      </c>
      <c r="D232" s="36">
        <v>-0.28858264900000002</v>
      </c>
      <c r="E232" s="36">
        <v>0.14490704469999999</v>
      </c>
    </row>
    <row r="233" spans="2:5" x14ac:dyDescent="0.25">
      <c r="B233" s="35">
        <v>60.5</v>
      </c>
      <c r="C233" s="35">
        <v>0</v>
      </c>
      <c r="D233" s="36">
        <v>-0.29522723899999997</v>
      </c>
      <c r="E233" s="36">
        <v>0.1469212678</v>
      </c>
    </row>
    <row r="234" spans="2:5" x14ac:dyDescent="0.25">
      <c r="B234" s="35">
        <v>60.75</v>
      </c>
      <c r="C234" s="35">
        <v>0</v>
      </c>
      <c r="D234" s="36">
        <v>-0.30188340499999999</v>
      </c>
      <c r="E234" s="36">
        <v>0.1489313447</v>
      </c>
    </row>
    <row r="235" spans="2:5" x14ac:dyDescent="0.25">
      <c r="B235" s="35">
        <v>61</v>
      </c>
      <c r="C235" s="35">
        <v>0</v>
      </c>
      <c r="D235" s="36">
        <v>-0.30854934000000001</v>
      </c>
      <c r="E235" s="36">
        <v>0.15093720699999999</v>
      </c>
    </row>
    <row r="236" spans="2:5" x14ac:dyDescent="0.25">
      <c r="B236" s="35">
        <v>61.25</v>
      </c>
      <c r="C236" s="35">
        <v>0</v>
      </c>
      <c r="D236" s="36">
        <v>-0.31522329300000002</v>
      </c>
      <c r="E236" s="36">
        <v>0.15293878690000001</v>
      </c>
    </row>
    <row r="237" spans="2:5" x14ac:dyDescent="0.25">
      <c r="B237" s="35">
        <v>61.5</v>
      </c>
      <c r="C237" s="35">
        <v>0</v>
      </c>
      <c r="D237" s="36">
        <v>-0.321903683</v>
      </c>
      <c r="E237" s="36">
        <v>0.1549360146</v>
      </c>
    </row>
    <row r="238" spans="2:5" x14ac:dyDescent="0.25">
      <c r="B238" s="35">
        <v>61.75</v>
      </c>
      <c r="C238" s="35">
        <v>0</v>
      </c>
      <c r="D238" s="36">
        <v>-0.32858899699999999</v>
      </c>
      <c r="E238" s="36">
        <v>0.1569288211</v>
      </c>
    </row>
    <row r="239" spans="2:5" x14ac:dyDescent="0.25">
      <c r="B239" s="35">
        <v>62</v>
      </c>
      <c r="C239" s="35">
        <v>0</v>
      </c>
      <c r="D239" s="36">
        <v>-0.33527764900000001</v>
      </c>
      <c r="E239" s="36">
        <v>0.15891714230000001</v>
      </c>
    </row>
    <row r="240" spans="2:5" x14ac:dyDescent="0.25">
      <c r="B240" s="35">
        <v>62.25</v>
      </c>
      <c r="C240" s="35">
        <v>0</v>
      </c>
      <c r="D240" s="36">
        <v>-0.341968096</v>
      </c>
      <c r="E240" s="36">
        <v>0.1609009156</v>
      </c>
    </row>
    <row r="241" spans="2:5" x14ac:dyDescent="0.25">
      <c r="B241" s="35">
        <v>62.5</v>
      </c>
      <c r="C241" s="35">
        <v>0</v>
      </c>
      <c r="D241" s="36">
        <v>-0.34865900799999999</v>
      </c>
      <c r="E241" s="36">
        <v>0.16288007830000001</v>
      </c>
    </row>
    <row r="242" spans="2:5" x14ac:dyDescent="0.25">
      <c r="B242" s="35">
        <v>62.75</v>
      </c>
      <c r="C242" s="35">
        <v>0</v>
      </c>
      <c r="D242" s="36">
        <v>-0.35534912699999999</v>
      </c>
      <c r="E242" s="36">
        <v>0.16485456909999999</v>
      </c>
    </row>
    <row r="243" spans="2:5" x14ac:dyDescent="0.25">
      <c r="B243" s="35">
        <v>63</v>
      </c>
      <c r="C243" s="35">
        <v>0</v>
      </c>
      <c r="D243" s="36">
        <v>-0.36203725799999997</v>
      </c>
      <c r="E243" s="36">
        <v>0.1668243284</v>
      </c>
    </row>
    <row r="244" spans="2:5" x14ac:dyDescent="0.25">
      <c r="B244" s="35">
        <v>63.25</v>
      </c>
      <c r="C244" s="35">
        <v>0</v>
      </c>
      <c r="D244" s="36">
        <v>-0.36872227699999999</v>
      </c>
      <c r="E244" s="36">
        <v>0.1687892986</v>
      </c>
    </row>
    <row r="245" spans="2:5" x14ac:dyDescent="0.25">
      <c r="B245" s="35">
        <v>63.5</v>
      </c>
      <c r="C245" s="35">
        <v>0</v>
      </c>
      <c r="D245" s="36">
        <v>-0.37540319</v>
      </c>
      <c r="E245" s="36">
        <v>0.17074942530000001</v>
      </c>
    </row>
    <row r="246" spans="2:5" x14ac:dyDescent="0.25">
      <c r="B246" s="35">
        <v>63.75</v>
      </c>
      <c r="C246" s="35">
        <v>0</v>
      </c>
      <c r="D246" s="36">
        <v>-0.38207900900000002</v>
      </c>
      <c r="E246" s="36">
        <v>0.17270465709999999</v>
      </c>
    </row>
    <row r="247" spans="2:5" x14ac:dyDescent="0.25">
      <c r="B247" s="35">
        <v>64</v>
      </c>
      <c r="C247" s="35">
        <v>0</v>
      </c>
      <c r="D247" s="36">
        <v>-0.38874873599999998</v>
      </c>
      <c r="E247" s="36">
        <v>0.17465494449999999</v>
      </c>
    </row>
    <row r="248" spans="2:5" x14ac:dyDescent="0.25">
      <c r="B248" s="35">
        <v>64.25</v>
      </c>
      <c r="C248" s="35">
        <v>0</v>
      </c>
      <c r="D248" s="36">
        <v>-0.39541143899999998</v>
      </c>
      <c r="E248" s="36">
        <v>0.17660023969999999</v>
      </c>
    </row>
    <row r="249" spans="2:5" x14ac:dyDescent="0.25">
      <c r="B249" s="35">
        <v>64.5</v>
      </c>
      <c r="C249" s="35">
        <v>0</v>
      </c>
      <c r="D249" s="36">
        <v>-0.402066376</v>
      </c>
      <c r="E249" s="36">
        <v>0.1785404967</v>
      </c>
    </row>
    <row r="250" spans="2:5" x14ac:dyDescent="0.25">
      <c r="B250" s="35">
        <v>64.75</v>
      </c>
      <c r="C250" s="35">
        <v>0</v>
      </c>
      <c r="D250" s="36">
        <v>-0.408712874</v>
      </c>
      <c r="E250" s="36">
        <v>0.18047567019999999</v>
      </c>
    </row>
    <row r="251" spans="2:5" x14ac:dyDescent="0.25">
      <c r="B251" s="35">
        <v>65</v>
      </c>
      <c r="C251" s="35">
        <v>0</v>
      </c>
      <c r="D251" s="36">
        <v>-0.41535026000000003</v>
      </c>
      <c r="E251" s="36">
        <v>0.18240571580000001</v>
      </c>
    </row>
    <row r="252" spans="2:5" x14ac:dyDescent="0.25">
      <c r="B252" s="35">
        <v>65.25</v>
      </c>
      <c r="C252" s="35">
        <v>0</v>
      </c>
      <c r="D252" s="36">
        <v>-0.421977873</v>
      </c>
      <c r="E252" s="36">
        <v>0.18433059169999999</v>
      </c>
    </row>
    <row r="253" spans="2:5" x14ac:dyDescent="0.25">
      <c r="B253" s="35">
        <v>65.5</v>
      </c>
      <c r="C253" s="35">
        <v>0</v>
      </c>
      <c r="D253" s="36">
        <v>-0.42859514700000001</v>
      </c>
      <c r="E253" s="36">
        <v>0.18625025940000001</v>
      </c>
    </row>
    <row r="254" spans="2:5" x14ac:dyDescent="0.25">
      <c r="B254" s="35">
        <v>65.75</v>
      </c>
      <c r="C254" s="35">
        <v>0</v>
      </c>
      <c r="D254" s="36">
        <v>-0.43520153</v>
      </c>
      <c r="E254" s="36">
        <v>0.18816468319999999</v>
      </c>
    </row>
    <row r="255" spans="2:5" x14ac:dyDescent="0.25">
      <c r="B255" s="35">
        <v>66</v>
      </c>
      <c r="C255" s="35">
        <v>0</v>
      </c>
      <c r="D255" s="36">
        <v>-0.441796403</v>
      </c>
      <c r="E255" s="36">
        <v>0.19007383059999999</v>
      </c>
    </row>
    <row r="256" spans="2:5" x14ac:dyDescent="0.25">
      <c r="B256" s="35">
        <v>66.25</v>
      </c>
      <c r="C256" s="35">
        <v>0</v>
      </c>
      <c r="D256" s="36">
        <v>-0.44837913499999998</v>
      </c>
      <c r="E256" s="36">
        <v>0.19197767069999999</v>
      </c>
    </row>
    <row r="257" spans="2:5" x14ac:dyDescent="0.25">
      <c r="B257" s="35">
        <v>66.5</v>
      </c>
      <c r="C257" s="35">
        <v>0</v>
      </c>
      <c r="D257" s="36">
        <v>-0.45494913799999998</v>
      </c>
      <c r="E257" s="36">
        <v>0.19387617639999999</v>
      </c>
    </row>
    <row r="258" spans="2:5" x14ac:dyDescent="0.25">
      <c r="B258" s="35">
        <v>66.75</v>
      </c>
      <c r="C258" s="35">
        <v>0</v>
      </c>
      <c r="D258" s="36">
        <v>-0.46150580299999999</v>
      </c>
      <c r="E258" s="36">
        <v>0.19576932220000001</v>
      </c>
    </row>
    <row r="259" spans="2:5" x14ac:dyDescent="0.25">
      <c r="B259" s="35">
        <v>67</v>
      </c>
      <c r="C259" s="35">
        <v>0</v>
      </c>
      <c r="D259" s="36">
        <v>-0.46804850799999997</v>
      </c>
      <c r="E259" s="36">
        <v>0.19765708400000001</v>
      </c>
    </row>
    <row r="260" spans="2:5" x14ac:dyDescent="0.25">
      <c r="B260" s="35">
        <v>67.25</v>
      </c>
      <c r="C260" s="35">
        <v>0</v>
      </c>
      <c r="D260" s="36">
        <v>-0.47457667599999998</v>
      </c>
      <c r="E260" s="36">
        <v>0.1995394382</v>
      </c>
    </row>
    <row r="261" spans="2:5" x14ac:dyDescent="0.25">
      <c r="B261" s="35">
        <v>67.5</v>
      </c>
      <c r="C261" s="35">
        <v>0</v>
      </c>
      <c r="D261" s="36">
        <v>-0.48108981299999998</v>
      </c>
      <c r="E261" s="36">
        <v>0.20141636060000001</v>
      </c>
    </row>
    <row r="262" spans="2:5" x14ac:dyDescent="0.25">
      <c r="B262" s="35">
        <v>67.75</v>
      </c>
      <c r="C262" s="35">
        <v>0</v>
      </c>
      <c r="D262" s="36">
        <v>-0.48758742900000002</v>
      </c>
      <c r="E262" s="36">
        <v>0.2032878266</v>
      </c>
    </row>
    <row r="263" spans="2:5" x14ac:dyDescent="0.25">
      <c r="B263" s="35">
        <v>68</v>
      </c>
      <c r="C263" s="35">
        <v>0</v>
      </c>
      <c r="D263" s="36">
        <v>-0.49406900199999998</v>
      </c>
      <c r="E263" s="36">
        <v>0.2051538128</v>
      </c>
    </row>
    <row r="264" spans="2:5" x14ac:dyDescent="0.25">
      <c r="B264" s="35">
        <v>68.25</v>
      </c>
      <c r="C264" s="35">
        <v>0</v>
      </c>
      <c r="D264" s="36">
        <v>-0.50053400699999995</v>
      </c>
      <c r="E264" s="36">
        <v>0.20701429690000001</v>
      </c>
    </row>
    <row r="265" spans="2:5" x14ac:dyDescent="0.25">
      <c r="B265" s="35">
        <v>68.5</v>
      </c>
      <c r="C265" s="35">
        <v>0</v>
      </c>
      <c r="D265" s="36">
        <v>-0.50698197700000003</v>
      </c>
      <c r="E265" s="36">
        <v>0.2088692613</v>
      </c>
    </row>
    <row r="266" spans="2:5" x14ac:dyDescent="0.25">
      <c r="B266" s="35">
        <v>68.75</v>
      </c>
      <c r="C266" s="35">
        <v>0</v>
      </c>
      <c r="D266" s="36">
        <v>-0.51341245499999999</v>
      </c>
      <c r="E266" s="36">
        <v>0.21071869009999999</v>
      </c>
    </row>
    <row r="267" spans="2:5" x14ac:dyDescent="0.25">
      <c r="B267" s="35">
        <v>69</v>
      </c>
      <c r="C267" s="35">
        <v>0</v>
      </c>
      <c r="D267" s="36">
        <v>-0.51982499000000004</v>
      </c>
      <c r="E267" s="36">
        <v>0.21256256770000001</v>
      </c>
    </row>
    <row r="268" spans="2:5" x14ac:dyDescent="0.25">
      <c r="B268" s="35">
        <v>69.25</v>
      </c>
      <c r="C268" s="35">
        <v>0</v>
      </c>
      <c r="D268" s="36">
        <v>-0.52621918599999995</v>
      </c>
      <c r="E268" s="36">
        <v>0.21440087990000001</v>
      </c>
    </row>
    <row r="269" spans="2:5" x14ac:dyDescent="0.25">
      <c r="B269" s="35">
        <v>69.5</v>
      </c>
      <c r="C269" s="35">
        <v>0</v>
      </c>
      <c r="D269" s="36">
        <v>-0.53259486199999995</v>
      </c>
      <c r="E269" s="36">
        <v>0.21623361669999999</v>
      </c>
    </row>
    <row r="270" spans="2:5" x14ac:dyDescent="0.25">
      <c r="B270" s="35">
        <v>69.75</v>
      </c>
      <c r="C270" s="35">
        <v>0</v>
      </c>
      <c r="D270" s="36">
        <v>-0.538951913</v>
      </c>
      <c r="E270" s="36">
        <v>0.21806076969999999</v>
      </c>
    </row>
    <row r="271" spans="2:5" x14ac:dyDescent="0.25">
      <c r="B271" s="35">
        <v>70</v>
      </c>
      <c r="C271" s="35">
        <v>0</v>
      </c>
      <c r="D271" s="36">
        <v>-0.54529022800000004</v>
      </c>
      <c r="E271" s="36">
        <v>0.2198823318</v>
      </c>
    </row>
    <row r="272" spans="2:5" x14ac:dyDescent="0.25">
      <c r="B272" s="35">
        <v>70.25</v>
      </c>
      <c r="C272" s="35">
        <v>0</v>
      </c>
      <c r="D272" s="36">
        <v>-0.55160969100000001</v>
      </c>
      <c r="E272" s="36">
        <v>0.2216982985</v>
      </c>
    </row>
    <row r="273" spans="2:5" x14ac:dyDescent="0.25">
      <c r="B273" s="35">
        <v>70.5</v>
      </c>
      <c r="C273" s="35">
        <v>0</v>
      </c>
      <c r="D273" s="36">
        <v>-0.55791015700000002</v>
      </c>
      <c r="E273" s="36">
        <v>0.22350867250000001</v>
      </c>
    </row>
    <row r="274" spans="2:5" x14ac:dyDescent="0.25">
      <c r="B274" s="35">
        <v>70.75</v>
      </c>
      <c r="C274" s="35">
        <v>0</v>
      </c>
      <c r="D274" s="36">
        <v>-0.56419148200000002</v>
      </c>
      <c r="E274" s="36">
        <v>0.2253134588</v>
      </c>
    </row>
    <row r="275" spans="2:5" x14ac:dyDescent="0.25">
      <c r="B275" s="35">
        <v>71</v>
      </c>
      <c r="C275" s="35">
        <v>0</v>
      </c>
      <c r="D275" s="36">
        <v>-0.57045353700000001</v>
      </c>
      <c r="E275" s="36">
        <v>0.22711266369999999</v>
      </c>
    </row>
    <row r="276" spans="2:5" x14ac:dyDescent="0.25">
      <c r="B276" s="35">
        <v>71.25</v>
      </c>
      <c r="C276" s="35">
        <v>0</v>
      </c>
      <c r="D276" s="36">
        <v>-0.57669621400000004</v>
      </c>
      <c r="E276" s="36">
        <v>0.2289062955</v>
      </c>
    </row>
    <row r="277" spans="2:5" x14ac:dyDescent="0.25">
      <c r="B277" s="35">
        <v>71.5</v>
      </c>
      <c r="C277" s="35">
        <v>0</v>
      </c>
      <c r="D277" s="36">
        <v>-0.58291945700000003</v>
      </c>
      <c r="E277" s="36">
        <v>0.23069436539999999</v>
      </c>
    </row>
    <row r="278" spans="2:5" x14ac:dyDescent="0.25">
      <c r="B278" s="35">
        <v>71.75</v>
      </c>
      <c r="C278" s="35">
        <v>0</v>
      </c>
      <c r="D278" s="36">
        <v>-0.58912322500000003</v>
      </c>
      <c r="E278" s="36">
        <v>0.23247688490000001</v>
      </c>
    </row>
    <row r="279" spans="2:5" x14ac:dyDescent="0.25">
      <c r="B279" s="35">
        <v>72</v>
      </c>
      <c r="C279" s="35">
        <v>0</v>
      </c>
      <c r="D279" s="36">
        <v>-0.59530746899999998</v>
      </c>
      <c r="E279" s="36">
        <v>0.23425386500000001</v>
      </c>
    </row>
    <row r="280" spans="2:5" x14ac:dyDescent="0.25">
      <c r="B280" s="35">
        <v>72.25</v>
      </c>
      <c r="C280" s="35">
        <v>0</v>
      </c>
      <c r="D280" s="36">
        <v>-0.601472126</v>
      </c>
      <c r="E280" s="36">
        <v>0.2360253168</v>
      </c>
    </row>
    <row r="281" spans="2:5" x14ac:dyDescent="0.25">
      <c r="B281" s="35">
        <v>72.5</v>
      </c>
      <c r="C281" s="35">
        <v>0</v>
      </c>
      <c r="D281" s="36">
        <v>-0.60761717400000004</v>
      </c>
      <c r="E281" s="36">
        <v>0.2377912536</v>
      </c>
    </row>
    <row r="282" spans="2:5" x14ac:dyDescent="0.25">
      <c r="B282" s="35">
        <v>72.75</v>
      </c>
      <c r="C282" s="35">
        <v>0</v>
      </c>
      <c r="D282" s="36">
        <v>-0.61374259600000003</v>
      </c>
      <c r="E282" s="36">
        <v>0.2395516898</v>
      </c>
    </row>
    <row r="283" spans="2:5" x14ac:dyDescent="0.25">
      <c r="B283" s="35">
        <v>73</v>
      </c>
      <c r="C283" s="35">
        <v>0</v>
      </c>
      <c r="D283" s="36">
        <v>-0.61984835500000002</v>
      </c>
      <c r="E283" s="36">
        <v>0.24130664099999999</v>
      </c>
    </row>
    <row r="284" spans="2:5" x14ac:dyDescent="0.25">
      <c r="B284" s="35">
        <v>73.25</v>
      </c>
      <c r="C284" s="35">
        <v>0</v>
      </c>
      <c r="D284" s="36">
        <v>-0.62593443000000004</v>
      </c>
      <c r="E284" s="36">
        <v>0.24305612260000001</v>
      </c>
    </row>
    <row r="285" spans="2:5" x14ac:dyDescent="0.25">
      <c r="B285" s="35">
        <v>73.5</v>
      </c>
      <c r="C285" s="35">
        <v>0</v>
      </c>
      <c r="D285" s="36">
        <v>-0.632000856</v>
      </c>
      <c r="E285" s="36">
        <v>0.2448001484</v>
      </c>
    </row>
    <row r="286" spans="2:5" x14ac:dyDescent="0.25">
      <c r="B286" s="35">
        <v>73.75</v>
      </c>
      <c r="C286" s="35">
        <v>0</v>
      </c>
      <c r="D286" s="36">
        <v>-0.63804766700000004</v>
      </c>
      <c r="E286" s="36">
        <v>0.24653873160000001</v>
      </c>
    </row>
    <row r="287" spans="2:5" x14ac:dyDescent="0.25">
      <c r="B287" s="35">
        <v>74</v>
      </c>
      <c r="C287" s="35">
        <v>0</v>
      </c>
      <c r="D287" s="36">
        <v>-0.64407489500000004</v>
      </c>
      <c r="E287" s="36">
        <v>0.24827188510000001</v>
      </c>
    </row>
    <row r="288" spans="2:5" x14ac:dyDescent="0.25">
      <c r="B288" s="35">
        <v>74.25</v>
      </c>
      <c r="C288" s="35">
        <v>0</v>
      </c>
      <c r="D288" s="36">
        <v>-0.65008259800000001</v>
      </c>
      <c r="E288" s="36">
        <v>0.2499996223</v>
      </c>
    </row>
    <row r="289" spans="2:5" x14ac:dyDescent="0.25">
      <c r="B289" s="35">
        <v>74.5</v>
      </c>
      <c r="C289" s="35">
        <v>0</v>
      </c>
      <c r="D289" s="36">
        <v>-0.656070928</v>
      </c>
      <c r="E289" s="36">
        <v>0.2517219584</v>
      </c>
    </row>
    <row r="290" spans="2:5" x14ac:dyDescent="0.25">
      <c r="B290" s="35">
        <v>74.75</v>
      </c>
      <c r="C290" s="35">
        <v>0</v>
      </c>
      <c r="D290" s="36">
        <v>-0.66204003499999997</v>
      </c>
      <c r="E290" s="36">
        <v>0.25343890920000001</v>
      </c>
    </row>
    <row r="291" spans="2:5" x14ac:dyDescent="0.25">
      <c r="B291" s="35">
        <v>75</v>
      </c>
      <c r="C291" s="35">
        <v>0</v>
      </c>
      <c r="D291" s="36">
        <v>-0.66799002500000004</v>
      </c>
      <c r="E291" s="36">
        <v>0.25515049249999999</v>
      </c>
    </row>
    <row r="292" spans="2:5" x14ac:dyDescent="0.25">
      <c r="B292" s="35">
        <v>75.25</v>
      </c>
      <c r="C292" s="35">
        <v>0</v>
      </c>
      <c r="D292" s="36">
        <v>-0.67392097500000003</v>
      </c>
      <c r="E292" s="36">
        <v>0.25685672739999998</v>
      </c>
    </row>
    <row r="293" spans="2:5" x14ac:dyDescent="0.25">
      <c r="B293" s="35">
        <v>75.5</v>
      </c>
      <c r="C293" s="35">
        <v>0</v>
      </c>
      <c r="D293" s="36">
        <v>-0.67983294999999999</v>
      </c>
      <c r="E293" s="36">
        <v>0.2585576369</v>
      </c>
    </row>
    <row r="294" spans="2:5" x14ac:dyDescent="0.25">
      <c r="B294" s="35">
        <v>75.75</v>
      </c>
      <c r="C294" s="35">
        <v>0</v>
      </c>
      <c r="D294" s="36">
        <v>-0.685726002</v>
      </c>
      <c r="E294" s="36">
        <v>0.26025324399999999</v>
      </c>
    </row>
    <row r="295" spans="2:5" x14ac:dyDescent="0.25">
      <c r="B295" s="35">
        <v>76</v>
      </c>
      <c r="C295" s="35">
        <v>0</v>
      </c>
      <c r="D295" s="36">
        <v>-0.69160016199999996</v>
      </c>
      <c r="E295" s="36">
        <v>0.26194357159999998</v>
      </c>
    </row>
    <row r="296" spans="2:5" x14ac:dyDescent="0.25">
      <c r="B296" s="35">
        <v>76.25</v>
      </c>
      <c r="C296" s="35">
        <v>0</v>
      </c>
      <c r="D296" s="36">
        <v>-0.69745548000000002</v>
      </c>
      <c r="E296" s="36">
        <v>0.26362864229999999</v>
      </c>
    </row>
    <row r="297" spans="2:5" x14ac:dyDescent="0.25">
      <c r="B297" s="35">
        <v>76.5</v>
      </c>
      <c r="C297" s="35">
        <v>0</v>
      </c>
      <c r="D297" s="36">
        <v>-0.703292052</v>
      </c>
      <c r="E297" s="36">
        <v>0.2653084778</v>
      </c>
    </row>
    <row r="298" spans="2:5" x14ac:dyDescent="0.25">
      <c r="B298" s="35">
        <v>76.75</v>
      </c>
      <c r="C298" s="35">
        <v>0</v>
      </c>
      <c r="D298" s="36">
        <v>-0.70910996199999998</v>
      </c>
      <c r="E298" s="36">
        <v>0.2669830997</v>
      </c>
    </row>
    <row r="299" spans="2:5" x14ac:dyDescent="0.25">
      <c r="B299" s="35">
        <v>77</v>
      </c>
      <c r="C299" s="35">
        <v>0</v>
      </c>
      <c r="D299" s="36">
        <v>-0.71490925999999999</v>
      </c>
      <c r="E299" s="36">
        <v>0.26865252979999998</v>
      </c>
    </row>
    <row r="300" spans="2:5" x14ac:dyDescent="0.25">
      <c r="B300" s="35">
        <v>77.25</v>
      </c>
      <c r="C300" s="35">
        <v>0</v>
      </c>
      <c r="D300" s="36">
        <v>-0.72069000299999997</v>
      </c>
      <c r="E300" s="36">
        <v>0.27031678999999997</v>
      </c>
    </row>
    <row r="301" spans="2:5" x14ac:dyDescent="0.25">
      <c r="B301" s="35">
        <v>77.5</v>
      </c>
      <c r="C301" s="35">
        <v>0</v>
      </c>
      <c r="D301" s="36">
        <v>-0.72645227999999995</v>
      </c>
      <c r="E301" s="36">
        <v>0.27197590179999998</v>
      </c>
    </row>
    <row r="302" spans="2:5" x14ac:dyDescent="0.25">
      <c r="B302" s="35">
        <v>77.75</v>
      </c>
      <c r="C302" s="35">
        <v>0</v>
      </c>
      <c r="D302" s="36">
        <v>-0.73219618799999997</v>
      </c>
      <c r="E302" s="36">
        <v>0.27362988690000001</v>
      </c>
    </row>
    <row r="303" spans="2:5" x14ac:dyDescent="0.25">
      <c r="B303" s="35">
        <v>78</v>
      </c>
      <c r="C303" s="35">
        <v>0</v>
      </c>
      <c r="D303" s="36">
        <v>-0.73792182200000001</v>
      </c>
      <c r="E303" s="36">
        <v>0.27527876690000003</v>
      </c>
    </row>
    <row r="304" spans="2:5" x14ac:dyDescent="0.25">
      <c r="B304" s="35">
        <v>78.25</v>
      </c>
      <c r="C304" s="35">
        <v>0</v>
      </c>
      <c r="D304" s="36">
        <v>-0.74362928399999995</v>
      </c>
      <c r="E304" s="36">
        <v>0.27692256310000002</v>
      </c>
    </row>
    <row r="305" spans="2:5" x14ac:dyDescent="0.25">
      <c r="B305" s="35">
        <v>78.5</v>
      </c>
      <c r="C305" s="35">
        <v>0</v>
      </c>
      <c r="D305" s="36">
        <v>-0.74931869799999995</v>
      </c>
      <c r="E305" s="36">
        <v>0.2785612965</v>
      </c>
    </row>
    <row r="306" spans="2:5" x14ac:dyDescent="0.25">
      <c r="B306" s="35">
        <v>78.75</v>
      </c>
      <c r="C306" s="35">
        <v>0</v>
      </c>
      <c r="D306" s="36">
        <v>-0.75499017499999999</v>
      </c>
      <c r="E306" s="36">
        <v>0.28019498850000002</v>
      </c>
    </row>
    <row r="307" spans="2:5" x14ac:dyDescent="0.25">
      <c r="B307" s="35">
        <v>79</v>
      </c>
      <c r="C307" s="35">
        <v>0</v>
      </c>
      <c r="D307" s="36">
        <v>-0.76064380099999995</v>
      </c>
      <c r="E307" s="36">
        <v>0.28182366209999998</v>
      </c>
    </row>
    <row r="308" spans="2:5" x14ac:dyDescent="0.25">
      <c r="B308" s="35">
        <v>79.25</v>
      </c>
      <c r="C308" s="35">
        <v>0</v>
      </c>
      <c r="D308" s="36">
        <v>-0.76627965499999995</v>
      </c>
      <c r="E308" s="36">
        <v>0.28344734020000001</v>
      </c>
    </row>
    <row r="309" spans="2:5" x14ac:dyDescent="0.25">
      <c r="B309" s="35">
        <v>79.5</v>
      </c>
      <c r="C309" s="35">
        <v>0</v>
      </c>
      <c r="D309" s="36">
        <v>-0.77189781599999996</v>
      </c>
      <c r="E309" s="36">
        <v>0.28506604559999998</v>
      </c>
    </row>
    <row r="310" spans="2:5" x14ac:dyDescent="0.25">
      <c r="B310" s="35">
        <v>79.75</v>
      </c>
      <c r="C310" s="35">
        <v>0</v>
      </c>
      <c r="D310" s="36">
        <v>-0.77749836400000005</v>
      </c>
      <c r="E310" s="36">
        <v>0.2866798009</v>
      </c>
    </row>
    <row r="311" spans="2:5" x14ac:dyDescent="0.25">
      <c r="B311" s="35">
        <v>80</v>
      </c>
      <c r="C311" s="35">
        <v>0</v>
      </c>
      <c r="D311" s="36">
        <v>-0.78308137700000002</v>
      </c>
      <c r="E311" s="36">
        <v>0.28828862830000002</v>
      </c>
    </row>
    <row r="312" spans="2:5" x14ac:dyDescent="0.25">
      <c r="B312" s="35">
        <v>80.25</v>
      </c>
      <c r="C312" s="35">
        <v>0</v>
      </c>
      <c r="D312" s="36">
        <v>-0.78864694000000002</v>
      </c>
      <c r="E312" s="36">
        <v>0.28989254980000001</v>
      </c>
    </row>
    <row r="313" spans="2:5" x14ac:dyDescent="0.25">
      <c r="B313" s="35">
        <v>80.5</v>
      </c>
      <c r="C313" s="35">
        <v>0</v>
      </c>
      <c r="D313" s="36">
        <v>-0.79419516999999995</v>
      </c>
      <c r="E313" s="36">
        <v>0.29149158609999998</v>
      </c>
    </row>
    <row r="314" spans="2:5" x14ac:dyDescent="0.25">
      <c r="B314" s="35">
        <v>80.75</v>
      </c>
      <c r="C314" s="35">
        <v>0</v>
      </c>
      <c r="D314" s="36">
        <v>-0.79972618900000003</v>
      </c>
      <c r="E314" s="36">
        <v>0.2930857576</v>
      </c>
    </row>
    <row r="315" spans="2:5" x14ac:dyDescent="0.25">
      <c r="B315" s="35">
        <v>81</v>
      </c>
      <c r="C315" s="35">
        <v>0</v>
      </c>
      <c r="D315" s="36">
        <v>-0.80524012</v>
      </c>
      <c r="E315" s="36">
        <v>0.29467508440000001</v>
      </c>
    </row>
    <row r="316" spans="2:5" x14ac:dyDescent="0.25">
      <c r="B316" s="35">
        <v>81.25</v>
      </c>
      <c r="C316" s="35">
        <v>0</v>
      </c>
      <c r="D316" s="36">
        <v>-0.81073706899999998</v>
      </c>
      <c r="E316" s="36">
        <v>0.29625958749999998</v>
      </c>
    </row>
    <row r="317" spans="2:5" x14ac:dyDescent="0.25">
      <c r="B317" s="35">
        <v>81.5</v>
      </c>
      <c r="C317" s="35">
        <v>0</v>
      </c>
      <c r="D317" s="36">
        <v>-0.816217109</v>
      </c>
      <c r="E317" s="36">
        <v>0.29783929040000001</v>
      </c>
    </row>
    <row r="318" spans="2:5" x14ac:dyDescent="0.25">
      <c r="B318" s="35">
        <v>81.75</v>
      </c>
      <c r="C318" s="35">
        <v>0</v>
      </c>
      <c r="D318" s="36">
        <v>-0.821680301</v>
      </c>
      <c r="E318" s="36">
        <v>0.29941421740000002</v>
      </c>
    </row>
    <row r="319" spans="2:5" x14ac:dyDescent="0.25">
      <c r="B319" s="35">
        <v>82</v>
      </c>
      <c r="C319" s="35">
        <v>0</v>
      </c>
      <c r="D319" s="36">
        <v>-0.82712670899999996</v>
      </c>
      <c r="E319" s="36">
        <v>0.30098439230000001</v>
      </c>
    </row>
    <row r="320" spans="2:5" x14ac:dyDescent="0.25">
      <c r="B320" s="35">
        <v>82.25</v>
      </c>
      <c r="C320" s="35">
        <v>0</v>
      </c>
      <c r="D320" s="36">
        <v>-0.83255638899999995</v>
      </c>
      <c r="E320" s="36">
        <v>0.30254983930000001</v>
      </c>
    </row>
    <row r="321" spans="2:5" x14ac:dyDescent="0.25">
      <c r="B321" s="35">
        <v>82.5</v>
      </c>
      <c r="C321" s="35">
        <v>0</v>
      </c>
      <c r="D321" s="36">
        <v>-0.83796937500000002</v>
      </c>
      <c r="E321" s="36">
        <v>0.30411058299999999</v>
      </c>
    </row>
    <row r="322" spans="2:5" x14ac:dyDescent="0.25">
      <c r="B322" s="35">
        <v>82.75</v>
      </c>
      <c r="C322" s="35">
        <v>0</v>
      </c>
      <c r="D322" s="36">
        <v>-0.84336569400000005</v>
      </c>
      <c r="E322" s="36">
        <v>0.30566664789999998</v>
      </c>
    </row>
    <row r="323" spans="2:5" x14ac:dyDescent="0.25">
      <c r="B323" s="35">
        <v>83</v>
      </c>
      <c r="C323" s="35">
        <v>0</v>
      </c>
      <c r="D323" s="36">
        <v>-0.84874537699999997</v>
      </c>
      <c r="E323" s="36">
        <v>0.30721805839999999</v>
      </c>
    </row>
    <row r="324" spans="2:5" x14ac:dyDescent="0.25">
      <c r="B324" s="35">
        <v>83.25</v>
      </c>
      <c r="C324" s="35">
        <v>0</v>
      </c>
      <c r="D324" s="36">
        <v>-0.85410845899999999</v>
      </c>
      <c r="E324" s="36">
        <v>0.30876483869999999</v>
      </c>
    </row>
    <row r="325" spans="2:5" x14ac:dyDescent="0.25">
      <c r="B325" s="35">
        <v>83.5</v>
      </c>
      <c r="C325" s="35">
        <v>0</v>
      </c>
      <c r="D325" s="36">
        <v>-0.85945501199999996</v>
      </c>
      <c r="E325" s="36">
        <v>0.3103070121</v>
      </c>
    </row>
    <row r="326" spans="2:5" x14ac:dyDescent="0.25">
      <c r="B326" s="35">
        <v>83.75</v>
      </c>
      <c r="C326" s="35">
        <v>0</v>
      </c>
      <c r="D326" s="36">
        <v>-0.86478511300000005</v>
      </c>
      <c r="E326" s="36">
        <v>0.31184460159999999</v>
      </c>
    </row>
    <row r="327" spans="2:5" x14ac:dyDescent="0.25">
      <c r="B327" s="35">
        <v>84</v>
      </c>
      <c r="C327" s="35">
        <v>0</v>
      </c>
      <c r="D327" s="36">
        <v>-0.87009884100000001</v>
      </c>
      <c r="E327" s="36">
        <v>0.31337763010000003</v>
      </c>
    </row>
    <row r="328" spans="2:5" x14ac:dyDescent="0.25">
      <c r="B328" s="35">
        <v>84.25</v>
      </c>
      <c r="C328" s="35">
        <v>0</v>
      </c>
      <c r="D328" s="36">
        <v>-0.875396281</v>
      </c>
      <c r="E328" s="36">
        <v>0.31490612039999999</v>
      </c>
    </row>
    <row r="329" spans="2:5" x14ac:dyDescent="0.25">
      <c r="B329" s="35">
        <v>84.5</v>
      </c>
      <c r="C329" s="35">
        <v>0</v>
      </c>
      <c r="D329" s="36">
        <v>-0.88067754600000003</v>
      </c>
      <c r="E329" s="36">
        <v>0.31643009659999999</v>
      </c>
    </row>
    <row r="330" spans="2:5" x14ac:dyDescent="0.25">
      <c r="B330" s="35">
        <v>84.75</v>
      </c>
      <c r="C330" s="35">
        <v>0</v>
      </c>
      <c r="D330" s="36">
        <v>-0.88594275700000003</v>
      </c>
      <c r="E330" s="36">
        <v>0.3179495826</v>
      </c>
    </row>
    <row r="331" spans="2:5" x14ac:dyDescent="0.25">
      <c r="B331" s="35">
        <v>85</v>
      </c>
      <c r="C331" s="35">
        <v>0</v>
      </c>
      <c r="D331" s="36">
        <v>-0.89119203199999997</v>
      </c>
      <c r="E331" s="36">
        <v>0.31946460209999999</v>
      </c>
    </row>
    <row r="332" spans="2:5" x14ac:dyDescent="0.25">
      <c r="B332" s="35">
        <v>85.25</v>
      </c>
      <c r="C332" s="35">
        <v>0</v>
      </c>
      <c r="D332" s="36">
        <v>-0.89642549199999999</v>
      </c>
      <c r="E332" s="36">
        <v>0.32097517920000002</v>
      </c>
    </row>
    <row r="333" spans="2:5" x14ac:dyDescent="0.25">
      <c r="B333" s="35">
        <v>85.5</v>
      </c>
      <c r="C333" s="35">
        <v>0</v>
      </c>
      <c r="D333" s="36">
        <v>-0.90164326400000006</v>
      </c>
      <c r="E333" s="36">
        <v>0.32248133899999998</v>
      </c>
    </row>
    <row r="334" spans="2:5" x14ac:dyDescent="0.25">
      <c r="B334" s="35">
        <v>85.75</v>
      </c>
      <c r="C334" s="35">
        <v>0</v>
      </c>
      <c r="D334" s="36">
        <v>-0.90684547599999998</v>
      </c>
      <c r="E334" s="36">
        <v>0.32398310720000001</v>
      </c>
    </row>
    <row r="335" spans="2:5" x14ac:dyDescent="0.25">
      <c r="B335" s="35">
        <v>86</v>
      </c>
      <c r="C335" s="35">
        <v>0</v>
      </c>
      <c r="D335" s="36">
        <v>-0.91203225600000004</v>
      </c>
      <c r="E335" s="36">
        <v>0.32548050890000002</v>
      </c>
    </row>
    <row r="336" spans="2:5" x14ac:dyDescent="0.25">
      <c r="B336" s="35">
        <v>86.25</v>
      </c>
      <c r="C336" s="35">
        <v>0</v>
      </c>
      <c r="D336" s="36">
        <v>-0.91720372299999997</v>
      </c>
      <c r="E336" s="36">
        <v>0.32697356919999998</v>
      </c>
    </row>
    <row r="337" spans="2:5" x14ac:dyDescent="0.25">
      <c r="B337" s="35">
        <v>86.5</v>
      </c>
      <c r="C337" s="35">
        <v>0</v>
      </c>
      <c r="D337" s="36">
        <v>-0.922359979</v>
      </c>
      <c r="E337" s="36">
        <v>0.32846231250000002</v>
      </c>
    </row>
    <row r="338" spans="2:5" x14ac:dyDescent="0.25">
      <c r="B338" s="35">
        <v>86.75</v>
      </c>
      <c r="C338" s="35">
        <v>0</v>
      </c>
      <c r="D338" s="36">
        <v>-0.92750111999999996</v>
      </c>
      <c r="E338" s="36">
        <v>0.32994676350000002</v>
      </c>
    </row>
    <row r="339" spans="2:5" x14ac:dyDescent="0.25">
      <c r="B339" s="35">
        <v>87</v>
      </c>
      <c r="C339" s="35">
        <v>0</v>
      </c>
      <c r="D339" s="36">
        <v>-0.93262724100000005</v>
      </c>
      <c r="E339" s="36">
        <v>0.33142694610000001</v>
      </c>
    </row>
    <row r="340" spans="2:5" x14ac:dyDescent="0.25">
      <c r="B340" s="35">
        <v>87.25</v>
      </c>
      <c r="C340" s="35">
        <v>0</v>
      </c>
      <c r="D340" s="36">
        <v>-0.93773843899999998</v>
      </c>
      <c r="E340" s="36">
        <v>0.3329028845</v>
      </c>
    </row>
    <row r="341" spans="2:5" x14ac:dyDescent="0.25">
      <c r="B341" s="35">
        <v>87.5</v>
      </c>
      <c r="C341" s="35">
        <v>0</v>
      </c>
      <c r="D341" s="36">
        <v>-0.94283481999999996</v>
      </c>
      <c r="E341" s="36">
        <v>0.33437460270000002</v>
      </c>
    </row>
    <row r="342" spans="2:5" x14ac:dyDescent="0.25">
      <c r="B342" s="35">
        <v>87.75</v>
      </c>
      <c r="C342" s="35">
        <v>0</v>
      </c>
      <c r="D342" s="36">
        <v>-0.94791649200000005</v>
      </c>
      <c r="E342" s="36">
        <v>0.33584212470000002</v>
      </c>
    </row>
    <row r="343" spans="2:5" x14ac:dyDescent="0.25">
      <c r="B343" s="35">
        <v>88</v>
      </c>
      <c r="C343" s="35">
        <v>0</v>
      </c>
      <c r="D343" s="36">
        <v>-0.95298356399999995</v>
      </c>
      <c r="E343" s="36">
        <v>0.3373054741</v>
      </c>
    </row>
    <row r="344" spans="2:5" x14ac:dyDescent="0.25">
      <c r="B344" s="35">
        <v>88.25</v>
      </c>
      <c r="C344" s="35">
        <v>0</v>
      </c>
      <c r="D344" s="36">
        <v>-0.95803614199999998</v>
      </c>
      <c r="E344" s="36">
        <v>0.33876467440000002</v>
      </c>
    </row>
    <row r="345" spans="2:5" x14ac:dyDescent="0.25">
      <c r="B345" s="35">
        <v>88.5</v>
      </c>
      <c r="C345" s="35">
        <v>0</v>
      </c>
      <c r="D345" s="36">
        <v>-0.96307433399999998</v>
      </c>
      <c r="E345" s="36">
        <v>0.3402197481</v>
      </c>
    </row>
    <row r="346" spans="2:5" x14ac:dyDescent="0.25">
      <c r="B346" s="35">
        <v>88.75</v>
      </c>
      <c r="C346" s="35">
        <v>0</v>
      </c>
      <c r="D346" s="36">
        <v>-0.96809825000000005</v>
      </c>
      <c r="E346" s="36">
        <v>0.3416707175</v>
      </c>
    </row>
    <row r="347" spans="2:5" x14ac:dyDescent="0.25">
      <c r="B347" s="35">
        <v>89</v>
      </c>
      <c r="C347" s="35">
        <v>0</v>
      </c>
      <c r="D347" s="36">
        <v>-0.97310799599999998</v>
      </c>
      <c r="E347" s="36">
        <v>0.34311760479999998</v>
      </c>
    </row>
    <row r="348" spans="2:5" x14ac:dyDescent="0.25">
      <c r="B348" s="35">
        <v>89.25</v>
      </c>
      <c r="C348" s="35">
        <v>0</v>
      </c>
      <c r="D348" s="36">
        <v>-0.97810367600000003</v>
      </c>
      <c r="E348" s="36">
        <v>0.34456043200000003</v>
      </c>
    </row>
    <row r="349" spans="2:5" x14ac:dyDescent="0.25">
      <c r="B349" s="35">
        <v>89.5</v>
      </c>
      <c r="C349" s="35">
        <v>0</v>
      </c>
      <c r="D349" s="36">
        <v>-0.98308537299999998</v>
      </c>
      <c r="E349" s="36">
        <v>0.3459992221</v>
      </c>
    </row>
    <row r="350" spans="2:5" x14ac:dyDescent="0.25">
      <c r="B350" s="35">
        <v>89.75</v>
      </c>
      <c r="C350" s="35">
        <v>0</v>
      </c>
      <c r="D350" s="36">
        <v>-0.98805316899999995</v>
      </c>
      <c r="E350" s="36">
        <v>0.34743399800000002</v>
      </c>
    </row>
    <row r="351" spans="2:5" x14ac:dyDescent="0.25">
      <c r="B351" s="35">
        <v>90</v>
      </c>
      <c r="C351" s="35">
        <v>0</v>
      </c>
      <c r="D351" s="36">
        <v>-0.99300714400000001</v>
      </c>
      <c r="E351" s="36">
        <v>0.34886478250000003</v>
      </c>
    </row>
    <row r="352" spans="2:5" x14ac:dyDescent="0.25">
      <c r="B352" s="35"/>
      <c r="C352" s="36"/>
      <c r="D352" s="36"/>
      <c r="E352" s="36"/>
    </row>
    <row r="353" spans="2:5" x14ac:dyDescent="0.25">
      <c r="B353" s="35"/>
      <c r="C353" s="36"/>
      <c r="D353" s="36"/>
      <c r="E353" s="36"/>
    </row>
    <row r="354" spans="2:5" x14ac:dyDescent="0.25">
      <c r="B354" s="35"/>
      <c r="C354" s="36"/>
      <c r="D354" s="36"/>
      <c r="E354" s="36"/>
    </row>
    <row r="355" spans="2:5" x14ac:dyDescent="0.25">
      <c r="B355" s="35"/>
      <c r="C355" s="36"/>
      <c r="D355" s="36"/>
      <c r="E355" s="36"/>
    </row>
    <row r="356" spans="2:5" x14ac:dyDescent="0.25">
      <c r="B356" s="35"/>
      <c r="C356" s="36"/>
      <c r="D356" s="36"/>
      <c r="E356" s="36"/>
    </row>
    <row r="357" spans="2:5" x14ac:dyDescent="0.25">
      <c r="B357" s="35"/>
      <c r="C357" s="36"/>
      <c r="D357" s="36"/>
      <c r="E357" s="36"/>
    </row>
    <row r="358" spans="2:5" x14ac:dyDescent="0.25">
      <c r="B358" s="35"/>
      <c r="C358" s="36"/>
      <c r="D358" s="36"/>
      <c r="E358" s="36"/>
    </row>
    <row r="359" spans="2:5" x14ac:dyDescent="0.25">
      <c r="B359" s="35"/>
      <c r="C359" s="36"/>
      <c r="D359" s="36"/>
      <c r="E359" s="36"/>
    </row>
    <row r="360" spans="2:5" x14ac:dyDescent="0.25">
      <c r="B360" s="35"/>
      <c r="C360" s="36"/>
      <c r="D360" s="36"/>
      <c r="E360" s="36"/>
    </row>
    <row r="361" spans="2:5" x14ac:dyDescent="0.25">
      <c r="B361" s="35"/>
      <c r="C361" s="36"/>
      <c r="D361" s="36"/>
      <c r="E361" s="36"/>
    </row>
    <row r="362" spans="2:5" x14ac:dyDescent="0.25">
      <c r="B362" s="35"/>
      <c r="C362" s="36"/>
      <c r="D362" s="36"/>
      <c r="E362" s="36"/>
    </row>
    <row r="363" spans="2:5" x14ac:dyDescent="0.25">
      <c r="B363" s="35"/>
      <c r="C363" s="36"/>
      <c r="D363" s="36"/>
      <c r="E363" s="36"/>
    </row>
    <row r="364" spans="2:5" x14ac:dyDescent="0.25">
      <c r="B364" s="35"/>
      <c r="C364" s="36"/>
      <c r="D364" s="36"/>
      <c r="E364" s="36"/>
    </row>
    <row r="365" spans="2:5" x14ac:dyDescent="0.25">
      <c r="B365" s="35"/>
      <c r="C365" s="36"/>
      <c r="D365" s="36"/>
      <c r="E365" s="36"/>
    </row>
    <row r="366" spans="2:5" x14ac:dyDescent="0.25">
      <c r="B366" s="35"/>
      <c r="C366" s="36"/>
      <c r="D366" s="36"/>
      <c r="E366" s="36"/>
    </row>
    <row r="367" spans="2:5" x14ac:dyDescent="0.25">
      <c r="B367" s="35"/>
      <c r="C367" s="36"/>
      <c r="D367" s="36"/>
      <c r="E367" s="36"/>
    </row>
    <row r="368" spans="2:5" x14ac:dyDescent="0.25">
      <c r="B368" s="35"/>
      <c r="C368" s="36"/>
      <c r="D368" s="36"/>
      <c r="E368" s="36"/>
    </row>
    <row r="369" spans="2:5" x14ac:dyDescent="0.25">
      <c r="B369" s="35"/>
      <c r="C369" s="36"/>
      <c r="D369" s="36"/>
      <c r="E369" s="36"/>
    </row>
    <row r="370" spans="2:5" x14ac:dyDescent="0.25">
      <c r="B370" s="35"/>
      <c r="C370" s="36"/>
      <c r="D370" s="36"/>
      <c r="E370" s="36"/>
    </row>
    <row r="371" spans="2:5" x14ac:dyDescent="0.25">
      <c r="B371" s="35"/>
      <c r="C371" s="36"/>
      <c r="D371" s="36"/>
      <c r="E371" s="36"/>
    </row>
  </sheetData>
  <mergeCells count="11">
    <mergeCell ref="U3:V3"/>
    <mergeCell ref="X3:Y3"/>
    <mergeCell ref="B1:E1"/>
    <mergeCell ref="G1:O1"/>
    <mergeCell ref="Q1:Y1"/>
    <mergeCell ref="H2:O2"/>
    <mergeCell ref="R2:Y2"/>
    <mergeCell ref="H3:I3"/>
    <mergeCell ref="K3:L3"/>
    <mergeCell ref="N3:O3"/>
    <mergeCell ref="R3:S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2884-6E67-4517-8D9F-AA4715F28B27}">
  <dimension ref="A1:AE387"/>
  <sheetViews>
    <sheetView topLeftCell="B3" workbookViewId="0">
      <selection activeCell="S28" sqref="S28"/>
    </sheetView>
  </sheetViews>
  <sheetFormatPr defaultColWidth="9.109375" defaultRowHeight="12" x14ac:dyDescent="0.25"/>
  <cols>
    <col min="1" max="2" width="9.109375" style="1"/>
    <col min="3" max="5" width="9.109375" style="89"/>
    <col min="6" max="6" width="9.109375" style="1"/>
    <col min="7" max="7" width="11.88671875" style="1" customWidth="1"/>
    <col min="8" max="8" width="9.109375" style="1"/>
    <col min="9" max="9" width="9.109375" style="89"/>
    <col min="10" max="11" width="9.109375" style="1"/>
    <col min="12" max="12" width="9.109375" style="89"/>
    <col min="13" max="14" width="9.109375" style="1"/>
    <col min="15" max="15" width="9.109375" style="89"/>
    <col min="16" max="17" width="9.109375" style="1"/>
    <col min="18" max="18" width="6" style="1" customWidth="1"/>
    <col min="19" max="19" width="9.109375" style="1"/>
    <col min="20" max="20" width="4" style="1" customWidth="1"/>
    <col min="21" max="21" width="6.109375" style="1" customWidth="1"/>
    <col min="22" max="22" width="9.44140625" style="1" customWidth="1"/>
    <col min="23" max="23" width="4.6640625" style="1" customWidth="1"/>
    <col min="24" max="24" width="9.109375" style="1"/>
    <col min="25" max="25" width="5.5546875" style="1" customWidth="1"/>
    <col min="26" max="16384" width="9.109375" style="1"/>
  </cols>
  <sheetData>
    <row r="1" spans="1:29" ht="15.6" thickTop="1" thickBot="1" x14ac:dyDescent="0.35">
      <c r="B1" s="141" t="s">
        <v>159</v>
      </c>
      <c r="C1" s="142"/>
      <c r="D1" s="142"/>
      <c r="E1" s="143"/>
      <c r="G1" s="173" t="s">
        <v>176</v>
      </c>
      <c r="H1" s="174"/>
      <c r="I1" s="174"/>
      <c r="J1" s="174"/>
      <c r="K1" s="174"/>
      <c r="L1" s="174"/>
      <c r="M1" s="174"/>
      <c r="N1" s="174"/>
      <c r="O1" s="175"/>
      <c r="Q1" s="173" t="s">
        <v>158</v>
      </c>
      <c r="R1" s="174"/>
      <c r="S1" s="174"/>
      <c r="T1" s="174"/>
      <c r="U1" s="174"/>
      <c r="V1" s="174"/>
      <c r="W1" s="174"/>
      <c r="X1" s="174"/>
      <c r="Y1" s="175"/>
    </row>
    <row r="2" spans="1:29" ht="15" thickTop="1" x14ac:dyDescent="0.3">
      <c r="A2" s="4"/>
      <c r="B2" s="35" t="s">
        <v>0</v>
      </c>
      <c r="C2" s="35" t="s">
        <v>35</v>
      </c>
      <c r="D2" s="36" t="s">
        <v>33</v>
      </c>
      <c r="E2" s="36" t="s">
        <v>34</v>
      </c>
      <c r="G2" s="40"/>
      <c r="H2" s="144" t="s">
        <v>47</v>
      </c>
      <c r="I2" s="145"/>
      <c r="J2" s="145"/>
      <c r="K2" s="145"/>
      <c r="L2" s="145"/>
      <c r="M2" s="145"/>
      <c r="N2" s="146"/>
      <c r="O2" s="147"/>
      <c r="Q2" s="40"/>
      <c r="R2" s="145" t="s">
        <v>47</v>
      </c>
      <c r="S2" s="145"/>
      <c r="T2" s="145"/>
      <c r="U2" s="145"/>
      <c r="V2" s="145"/>
      <c r="W2" s="145"/>
      <c r="X2" s="145"/>
      <c r="Y2" s="148"/>
    </row>
    <row r="3" spans="1:29" ht="14.4" x14ac:dyDescent="0.25">
      <c r="B3" s="7">
        <v>3</v>
      </c>
      <c r="C3" s="35">
        <v>0</v>
      </c>
      <c r="D3" s="36">
        <v>-0.23110816819999999</v>
      </c>
      <c r="E3" s="36">
        <v>0.33514843750000001</v>
      </c>
      <c r="G3" s="42"/>
      <c r="H3" s="158" t="s">
        <v>41</v>
      </c>
      <c r="I3" s="159"/>
      <c r="K3" s="160" t="s">
        <v>42</v>
      </c>
      <c r="L3" s="159"/>
      <c r="N3" s="161" t="s">
        <v>43</v>
      </c>
      <c r="O3" s="162"/>
      <c r="Q3" s="41"/>
      <c r="R3" s="149" t="s">
        <v>33</v>
      </c>
      <c r="S3" s="150"/>
      <c r="U3" s="149" t="s">
        <v>34</v>
      </c>
      <c r="V3" s="150"/>
      <c r="X3" s="171" t="s">
        <v>35</v>
      </c>
      <c r="Y3" s="172"/>
    </row>
    <row r="4" spans="1:29" x14ac:dyDescent="0.25">
      <c r="B4" s="7">
        <v>3.25</v>
      </c>
      <c r="C4" s="35">
        <v>0</v>
      </c>
      <c r="D4" s="36">
        <v>-0.2169950863</v>
      </c>
      <c r="E4" s="36">
        <v>0.3097644155</v>
      </c>
      <c r="G4" s="48" t="s">
        <v>1</v>
      </c>
      <c r="H4" s="49" t="s">
        <v>2</v>
      </c>
      <c r="I4" s="88">
        <v>-9.6987000000000005</v>
      </c>
      <c r="K4" s="51" t="s">
        <v>27</v>
      </c>
      <c r="L4" s="88">
        <v>-2.3765000000000001</v>
      </c>
      <c r="N4" s="51" t="s">
        <v>31</v>
      </c>
      <c r="O4" s="102">
        <v>1.1539999999999999</v>
      </c>
      <c r="Q4" s="41" t="s">
        <v>1</v>
      </c>
      <c r="R4" s="43" t="s">
        <v>8</v>
      </c>
      <c r="S4" s="44">
        <v>5.5201E-2</v>
      </c>
      <c r="T4" s="45"/>
      <c r="U4" s="46" t="s">
        <v>14</v>
      </c>
      <c r="V4" s="135">
        <v>-8.2199999999999995E-2</v>
      </c>
      <c r="W4" s="2"/>
      <c r="X4" s="75" t="s">
        <v>20</v>
      </c>
      <c r="Y4" s="47">
        <v>0</v>
      </c>
      <c r="Z4" s="82"/>
      <c r="AA4" s="82"/>
      <c r="AC4" s="12"/>
    </row>
    <row r="5" spans="1:29" x14ac:dyDescent="0.25">
      <c r="B5" s="7">
        <v>3.5</v>
      </c>
      <c r="C5" s="35">
        <v>0</v>
      </c>
      <c r="D5" s="36">
        <v>-0.20400862149999999</v>
      </c>
      <c r="E5" s="36">
        <v>0.28620590330000001</v>
      </c>
      <c r="G5" s="48" t="s">
        <v>49</v>
      </c>
      <c r="H5" s="49" t="s">
        <v>3</v>
      </c>
      <c r="I5" s="88">
        <v>2.1211000000000002</v>
      </c>
      <c r="K5" s="52"/>
      <c r="L5" s="92"/>
      <c r="N5" s="51"/>
      <c r="O5" s="102"/>
      <c r="Q5" s="41" t="s">
        <v>67</v>
      </c>
      <c r="R5" s="43" t="s">
        <v>9</v>
      </c>
      <c r="S5" s="44">
        <v>1.6028990000000001</v>
      </c>
      <c r="T5" s="45"/>
      <c r="U5" s="46" t="s">
        <v>15</v>
      </c>
      <c r="V5" s="135">
        <v>1.4115200000000001</v>
      </c>
      <c r="X5" s="75" t="s">
        <v>21</v>
      </c>
      <c r="Y5" s="47">
        <v>0</v>
      </c>
      <c r="Z5" s="82"/>
      <c r="AA5" s="82"/>
      <c r="AC5" s="12"/>
    </row>
    <row r="6" spans="1:29" ht="13.8" x14ac:dyDescent="0.25">
      <c r="B6" s="7">
        <v>3.75</v>
      </c>
      <c r="C6" s="35">
        <v>0</v>
      </c>
      <c r="D6" s="36">
        <v>-0.1922241764</v>
      </c>
      <c r="E6" s="36">
        <v>0.26428055969999997</v>
      </c>
      <c r="G6" s="48" t="s">
        <v>48</v>
      </c>
      <c r="H6" s="49" t="s">
        <v>4</v>
      </c>
      <c r="I6" s="88">
        <v>-2.7E-2</v>
      </c>
      <c r="K6" s="51" t="s">
        <v>28</v>
      </c>
      <c r="L6" s="88">
        <v>9.7199999999999995E-2</v>
      </c>
      <c r="N6" s="51" t="s">
        <v>32</v>
      </c>
      <c r="O6" s="119">
        <v>0</v>
      </c>
      <c r="Q6" s="41" t="s">
        <v>68</v>
      </c>
      <c r="R6" s="43" t="s">
        <v>10</v>
      </c>
      <c r="S6" s="44">
        <v>-6.4844939999999998</v>
      </c>
      <c r="T6" s="45"/>
      <c r="U6" s="46" t="s">
        <v>16</v>
      </c>
      <c r="V6" s="135">
        <v>-11.279730000000001</v>
      </c>
      <c r="X6" s="75" t="s">
        <v>22</v>
      </c>
      <c r="Y6" s="47">
        <v>0</v>
      </c>
      <c r="Z6" s="82"/>
      <c r="AA6" s="82"/>
      <c r="AC6" s="12"/>
    </row>
    <row r="7" spans="1:29" ht="13.8" x14ac:dyDescent="0.25">
      <c r="B7" s="7">
        <v>4</v>
      </c>
      <c r="C7" s="35">
        <v>0</v>
      </c>
      <c r="D7" s="36">
        <v>-0.1817484965</v>
      </c>
      <c r="E7" s="36">
        <v>0.24386744730000001</v>
      </c>
      <c r="G7" s="48" t="s">
        <v>50</v>
      </c>
      <c r="H7" s="49" t="s">
        <v>5</v>
      </c>
      <c r="I7" s="88">
        <v>-0.1484</v>
      </c>
      <c r="K7" s="51" t="s">
        <v>29</v>
      </c>
      <c r="L7" s="88">
        <v>0.1016</v>
      </c>
      <c r="N7" s="51" t="s">
        <v>149</v>
      </c>
      <c r="O7" s="120">
        <v>0</v>
      </c>
      <c r="Q7" s="41" t="s">
        <v>69</v>
      </c>
      <c r="R7" s="43" t="s">
        <v>11</v>
      </c>
      <c r="S7" s="44">
        <v>10.272281</v>
      </c>
      <c r="T7" s="45"/>
      <c r="U7" s="46" t="s">
        <v>17</v>
      </c>
      <c r="V7" s="135">
        <v>29.461269999999999</v>
      </c>
      <c r="X7" s="75" t="s">
        <v>23</v>
      </c>
      <c r="Y7" s="47">
        <v>0</v>
      </c>
      <c r="Z7" s="82"/>
      <c r="AA7" s="82"/>
      <c r="AC7" s="12"/>
    </row>
    <row r="8" spans="1:29" ht="13.8" x14ac:dyDescent="0.25">
      <c r="B8" s="7">
        <v>4.25</v>
      </c>
      <c r="C8" s="35">
        <v>0</v>
      </c>
      <c r="D8" s="36">
        <v>-0.1726669602</v>
      </c>
      <c r="E8" s="36">
        <v>0.2248463762</v>
      </c>
      <c r="G8" s="48" t="s">
        <v>51</v>
      </c>
      <c r="H8" s="49" t="s">
        <v>6</v>
      </c>
      <c r="I8" s="88">
        <v>-1.49E-2</v>
      </c>
      <c r="K8" s="51" t="s">
        <v>30</v>
      </c>
      <c r="L8" s="88">
        <v>-1.09E-2</v>
      </c>
      <c r="N8" s="51" t="s">
        <v>150</v>
      </c>
      <c r="O8" s="121">
        <v>0</v>
      </c>
      <c r="Q8" s="41" t="s">
        <v>70</v>
      </c>
      <c r="R8" s="43" t="s">
        <v>12</v>
      </c>
      <c r="S8" s="44">
        <v>-9.8629840000000009</v>
      </c>
      <c r="T8" s="45"/>
      <c r="U8" s="46" t="s">
        <v>18</v>
      </c>
      <c r="V8" s="135">
        <v>-29.569649999999999</v>
      </c>
      <c r="X8" s="75" t="s">
        <v>24</v>
      </c>
      <c r="Y8" s="47">
        <v>0</v>
      </c>
      <c r="Z8" s="82"/>
      <c r="AA8" s="82"/>
      <c r="AC8" s="12"/>
    </row>
    <row r="9" spans="1:29" ht="13.8" x14ac:dyDescent="0.25">
      <c r="B9" s="7">
        <v>4.5</v>
      </c>
      <c r="C9" s="35">
        <v>0</v>
      </c>
      <c r="D9" s="36">
        <v>-0.16512925740000001</v>
      </c>
      <c r="E9" s="36">
        <v>0.2070845791</v>
      </c>
      <c r="G9" s="48" t="s">
        <v>52</v>
      </c>
      <c r="H9" s="49" t="s">
        <v>38</v>
      </c>
      <c r="I9" s="88">
        <v>-0.1208</v>
      </c>
      <c r="K9" s="51" t="s">
        <v>44</v>
      </c>
      <c r="L9" s="88">
        <v>7.3300000000000004E-2</v>
      </c>
      <c r="N9" s="51" t="s">
        <v>151</v>
      </c>
      <c r="O9" s="121">
        <v>0</v>
      </c>
      <c r="Q9" s="41" t="s">
        <v>71</v>
      </c>
      <c r="R9" s="43" t="s">
        <v>13</v>
      </c>
      <c r="S9" s="44">
        <v>3.8802349999999999</v>
      </c>
      <c r="T9" s="45"/>
      <c r="U9" s="46" t="s">
        <v>19</v>
      </c>
      <c r="V9" s="135">
        <v>10.446759999999999</v>
      </c>
      <c r="X9" s="75" t="s">
        <v>25</v>
      </c>
      <c r="Y9" s="47">
        <v>0</v>
      </c>
      <c r="Z9" s="82"/>
      <c r="AA9" s="82"/>
      <c r="AC9" s="12"/>
    </row>
    <row r="10" spans="1:29" ht="13.8" x14ac:dyDescent="0.25">
      <c r="B10" s="7">
        <v>4.75</v>
      </c>
      <c r="C10" s="35">
        <v>0</v>
      </c>
      <c r="D10" s="36">
        <v>-0.15919607820000001</v>
      </c>
      <c r="E10" s="36">
        <v>0.19046387109999999</v>
      </c>
      <c r="G10" s="132" t="s">
        <v>171</v>
      </c>
      <c r="H10" s="51" t="s">
        <v>169</v>
      </c>
      <c r="I10" s="88">
        <v>-7.0800000000000002E-2</v>
      </c>
      <c r="K10" s="51" t="s">
        <v>170</v>
      </c>
      <c r="L10" s="88">
        <v>1.14E-2</v>
      </c>
      <c r="N10" s="51"/>
      <c r="O10" s="88"/>
      <c r="Q10" s="41" t="s">
        <v>72</v>
      </c>
      <c r="R10" s="43"/>
      <c r="S10" s="53"/>
      <c r="U10" s="43"/>
      <c r="V10" s="54"/>
      <c r="X10" s="75" t="s">
        <v>39</v>
      </c>
      <c r="Y10" s="55">
        <v>0</v>
      </c>
      <c r="Z10" s="82"/>
      <c r="AA10" s="82"/>
      <c r="AC10" s="12"/>
    </row>
    <row r="11" spans="1:29" ht="13.8" x14ac:dyDescent="0.25">
      <c r="B11" s="7">
        <v>5</v>
      </c>
      <c r="C11" s="35">
        <v>0</v>
      </c>
      <c r="D11" s="36">
        <v>-0.15484156269999999</v>
      </c>
      <c r="E11" s="36">
        <v>0.17487379250000001</v>
      </c>
      <c r="G11" s="56"/>
      <c r="H11" s="57"/>
      <c r="I11" s="95" t="s">
        <v>33</v>
      </c>
      <c r="K11" s="59"/>
      <c r="L11" s="95" t="s">
        <v>34</v>
      </c>
      <c r="N11" s="59"/>
      <c r="O11" s="95" t="s">
        <v>35</v>
      </c>
      <c r="Q11" s="64" t="s">
        <v>133</v>
      </c>
      <c r="R11" s="61"/>
      <c r="S11" s="62"/>
      <c r="U11" s="61"/>
      <c r="V11" s="62"/>
      <c r="X11" s="76" t="s">
        <v>40</v>
      </c>
      <c r="Y11" s="63">
        <v>0</v>
      </c>
      <c r="Z11" s="82"/>
      <c r="AA11" s="82"/>
      <c r="AC11" s="12"/>
    </row>
    <row r="12" spans="1:29" x14ac:dyDescent="0.25">
      <c r="A12" s="28"/>
      <c r="B12" s="7">
        <v>5.25</v>
      </c>
      <c r="C12" s="35">
        <v>0</v>
      </c>
      <c r="D12" s="36">
        <v>-0.15175755730000001</v>
      </c>
      <c r="E12" s="36">
        <v>0.1602053527</v>
      </c>
      <c r="F12" s="7"/>
      <c r="Z12" s="82"/>
      <c r="AA12" s="82"/>
      <c r="AC12" s="12"/>
    </row>
    <row r="13" spans="1:29" x14ac:dyDescent="0.25">
      <c r="A13" s="28"/>
      <c r="B13" s="7">
        <v>5.5</v>
      </c>
      <c r="C13" s="35">
        <v>0</v>
      </c>
      <c r="D13" s="36">
        <v>-0.14943090119999999</v>
      </c>
      <c r="E13" s="36">
        <v>0.146358823</v>
      </c>
      <c r="F13" s="7"/>
      <c r="R13" s="12"/>
      <c r="S13" s="12"/>
      <c r="T13" s="12"/>
      <c r="U13" s="12"/>
      <c r="V13" s="12"/>
      <c r="W13" s="12"/>
      <c r="X13" s="12"/>
      <c r="Y13" s="12"/>
      <c r="Z13" s="82"/>
      <c r="AA13" s="82"/>
      <c r="AC13" s="12"/>
    </row>
    <row r="14" spans="1:29" x14ac:dyDescent="0.25">
      <c r="A14" s="28"/>
      <c r="B14" s="7">
        <v>5.75</v>
      </c>
      <c r="C14" s="35">
        <v>0</v>
      </c>
      <c r="D14" s="36">
        <v>-0.14739041110000001</v>
      </c>
      <c r="E14" s="36">
        <v>0.13325472860000001</v>
      </c>
      <c r="F14" s="7"/>
      <c r="P14" s="85"/>
      <c r="Q14" s="85"/>
      <c r="R14" s="35"/>
      <c r="S14" s="35"/>
      <c r="T14" s="35"/>
      <c r="U14" s="35"/>
      <c r="V14" s="85"/>
      <c r="W14" s="35"/>
      <c r="X14" s="35"/>
      <c r="Y14" s="35"/>
      <c r="Z14" s="12"/>
      <c r="AA14" s="12"/>
      <c r="AB14" s="12"/>
    </row>
    <row r="15" spans="1:29" x14ac:dyDescent="0.25">
      <c r="A15" s="28"/>
      <c r="B15" s="7">
        <v>6</v>
      </c>
      <c r="C15" s="35">
        <v>0</v>
      </c>
      <c r="D15" s="36">
        <v>-0.14519720629999999</v>
      </c>
      <c r="E15" s="36">
        <v>0.12084915089999999</v>
      </c>
      <c r="F15" s="7"/>
      <c r="G15" s="2" t="s">
        <v>167</v>
      </c>
      <c r="H15" s="7"/>
      <c r="O15" s="36"/>
      <c r="P15" s="85"/>
      <c r="Q15" s="134" t="s">
        <v>177</v>
      </c>
      <c r="R15" s="35"/>
      <c r="S15" s="82"/>
      <c r="T15" s="82"/>
      <c r="V15" s="12"/>
      <c r="Y15" s="35"/>
      <c r="Z15" s="82"/>
      <c r="AA15" s="82"/>
      <c r="AC15" s="12"/>
    </row>
    <row r="16" spans="1:29" x14ac:dyDescent="0.25">
      <c r="A16" s="28"/>
      <c r="B16" s="7">
        <v>6.25</v>
      </c>
      <c r="C16" s="35">
        <v>0</v>
      </c>
      <c r="D16" s="36">
        <v>-0.14255249</v>
      </c>
      <c r="E16" s="36">
        <v>0.10911668099999999</v>
      </c>
      <c r="F16" s="7"/>
      <c r="G16" s="1" t="s">
        <v>74</v>
      </c>
      <c r="O16" s="36"/>
      <c r="P16" s="85"/>
      <c r="Q16" s="136">
        <v>41092</v>
      </c>
      <c r="R16" s="35"/>
      <c r="S16" s="82"/>
      <c r="T16" s="82"/>
      <c r="V16" s="12"/>
      <c r="Y16" s="35"/>
      <c r="Z16" s="82"/>
      <c r="AA16" s="82"/>
      <c r="AC16" s="12"/>
    </row>
    <row r="17" spans="1:31" x14ac:dyDescent="0.25">
      <c r="A17" s="28"/>
      <c r="B17" s="7">
        <v>6.5</v>
      </c>
      <c r="C17" s="35">
        <v>0</v>
      </c>
      <c r="D17" s="36">
        <v>-0.13929694479999999</v>
      </c>
      <c r="E17" s="36">
        <v>9.8053013499999994E-2</v>
      </c>
      <c r="F17" s="7"/>
      <c r="G17" s="1" t="s">
        <v>73</v>
      </c>
      <c r="O17" s="36"/>
      <c r="P17" s="85"/>
      <c r="Q17" s="85"/>
      <c r="R17" s="35"/>
      <c r="S17" s="82"/>
      <c r="T17" s="82"/>
      <c r="V17" s="12"/>
      <c r="Y17" s="35"/>
      <c r="Z17" s="82"/>
      <c r="AA17" s="82"/>
      <c r="AC17" s="12"/>
    </row>
    <row r="18" spans="1:31" ht="13.8" x14ac:dyDescent="0.25">
      <c r="A18" s="28"/>
      <c r="B18" s="7">
        <v>6.75</v>
      </c>
      <c r="C18" s="35">
        <v>0</v>
      </c>
      <c r="D18" s="36">
        <v>-0.13540795429999999</v>
      </c>
      <c r="E18" s="36">
        <v>8.7677718000000002E-2</v>
      </c>
      <c r="F18" s="7"/>
      <c r="G18" s="1" t="s">
        <v>37</v>
      </c>
      <c r="N18" s="12"/>
      <c r="O18" s="36"/>
      <c r="P18" s="85"/>
      <c r="Q18" s="85"/>
      <c r="R18" s="35"/>
      <c r="S18" s="82"/>
      <c r="T18" s="82"/>
      <c r="V18" s="12"/>
      <c r="W18" s="82"/>
      <c r="Y18" s="12"/>
      <c r="AB18" s="82"/>
      <c r="AC18" s="82"/>
    </row>
    <row r="19" spans="1:31" x14ac:dyDescent="0.25">
      <c r="A19" s="28"/>
      <c r="B19" s="7">
        <v>7</v>
      </c>
      <c r="C19" s="35">
        <v>0</v>
      </c>
      <c r="D19" s="36">
        <v>-0.13103951259999999</v>
      </c>
      <c r="E19" s="36">
        <v>7.7990555899999994E-2</v>
      </c>
      <c r="F19" s="7"/>
      <c r="N19" s="12"/>
      <c r="O19" s="36"/>
      <c r="P19" s="85"/>
      <c r="Q19" s="85"/>
      <c r="R19" s="35"/>
      <c r="S19" s="82"/>
      <c r="T19" s="82"/>
      <c r="V19" s="12"/>
      <c r="W19" s="82"/>
      <c r="Y19" s="12"/>
      <c r="AB19" s="82"/>
      <c r="AC19" s="82"/>
    </row>
    <row r="20" spans="1:31" x14ac:dyDescent="0.25">
      <c r="A20" s="28"/>
      <c r="B20" s="7">
        <v>7.25</v>
      </c>
      <c r="C20" s="35">
        <v>0</v>
      </c>
      <c r="D20" s="36">
        <v>-0.1264066579</v>
      </c>
      <c r="E20" s="36">
        <v>6.8951152599999996E-2</v>
      </c>
      <c r="F20" s="7"/>
      <c r="G20" s="1" t="s">
        <v>82</v>
      </c>
      <c r="N20" s="12"/>
      <c r="O20" s="36"/>
      <c r="P20" s="85"/>
      <c r="Q20" s="35"/>
      <c r="R20" s="35"/>
      <c r="S20" s="82"/>
      <c r="T20" s="82"/>
      <c r="V20" s="12"/>
      <c r="W20" s="82"/>
      <c r="Y20" s="12"/>
      <c r="AB20" s="82"/>
      <c r="AC20" s="82"/>
    </row>
    <row r="21" spans="1:31" x14ac:dyDescent="0.25">
      <c r="A21" s="28"/>
      <c r="B21" s="7">
        <v>7.5</v>
      </c>
      <c r="C21" s="35">
        <v>0</v>
      </c>
      <c r="D21" s="36">
        <v>-0.1217195415</v>
      </c>
      <c r="E21" s="36">
        <v>6.0503147799999997E-2</v>
      </c>
      <c r="F21" s="7"/>
      <c r="G21" s="1" t="s">
        <v>81</v>
      </c>
      <c r="N21" s="12"/>
      <c r="O21" s="36"/>
      <c r="P21" s="85"/>
      <c r="Q21" s="35"/>
      <c r="R21" s="35"/>
      <c r="S21" s="82"/>
      <c r="T21" s="82"/>
      <c r="V21" s="12"/>
      <c r="W21" s="82"/>
      <c r="Y21" s="12"/>
      <c r="AB21" s="82"/>
      <c r="AC21" s="82"/>
    </row>
    <row r="22" spans="1:31" x14ac:dyDescent="0.25">
      <c r="A22" s="28"/>
      <c r="B22" s="7">
        <v>7.75</v>
      </c>
      <c r="C22" s="35">
        <v>0</v>
      </c>
      <c r="D22" s="36">
        <v>-0.1171083604</v>
      </c>
      <c r="E22" s="36">
        <v>5.2593926999999999E-2</v>
      </c>
      <c r="F22" s="7"/>
      <c r="G22" s="1" t="s">
        <v>75</v>
      </c>
      <c r="H22" s="1" t="s">
        <v>76</v>
      </c>
      <c r="N22" s="12"/>
      <c r="O22" s="36"/>
      <c r="P22" s="85"/>
      <c r="Q22" s="35"/>
      <c r="R22" s="35"/>
      <c r="S22" s="82"/>
      <c r="T22" s="82"/>
      <c r="V22" s="12"/>
      <c r="W22" s="82"/>
      <c r="Y22" s="12"/>
      <c r="AB22" s="82"/>
      <c r="AC22" s="82"/>
    </row>
    <row r="23" spans="1:31" x14ac:dyDescent="0.25">
      <c r="A23" s="28"/>
      <c r="B23" s="7">
        <v>8</v>
      </c>
      <c r="C23" s="35">
        <v>0</v>
      </c>
      <c r="D23" s="36">
        <v>-0.1124754957</v>
      </c>
      <c r="E23" s="36">
        <v>4.5192213000000002E-2</v>
      </c>
      <c r="F23" s="7"/>
      <c r="G23" s="1" t="s">
        <v>77</v>
      </c>
      <c r="H23" s="1" t="s">
        <v>78</v>
      </c>
      <c r="N23" s="12"/>
      <c r="O23" s="36"/>
      <c r="P23" s="85"/>
      <c r="Q23" s="35"/>
      <c r="R23" s="35"/>
      <c r="S23" s="82"/>
      <c r="T23" s="82"/>
      <c r="V23" s="12"/>
      <c r="W23" s="82"/>
      <c r="Y23" s="12"/>
      <c r="AB23" s="82"/>
      <c r="AC23" s="82"/>
    </row>
    <row r="24" spans="1:31" x14ac:dyDescent="0.25">
      <c r="A24" s="28"/>
      <c r="B24" s="7">
        <v>8.25</v>
      </c>
      <c r="C24" s="35">
        <v>0</v>
      </c>
      <c r="D24" s="36">
        <v>-0.107587169</v>
      </c>
      <c r="E24" s="36">
        <v>3.8284354299999997E-2</v>
      </c>
      <c r="F24" s="7"/>
      <c r="G24" s="1" t="s">
        <v>79</v>
      </c>
      <c r="H24" s="1" t="s">
        <v>80</v>
      </c>
      <c r="N24" s="12"/>
      <c r="O24" s="36"/>
      <c r="P24" s="85"/>
      <c r="Q24" s="35"/>
      <c r="R24" s="35"/>
      <c r="S24" s="82"/>
      <c r="T24" s="82"/>
      <c r="V24" s="12"/>
      <c r="W24" s="82"/>
      <c r="Y24" s="12"/>
      <c r="AB24" s="82"/>
      <c r="AC24" s="82"/>
    </row>
    <row r="25" spans="1:31" x14ac:dyDescent="0.25">
      <c r="A25" s="28"/>
      <c r="B25" s="7">
        <v>8.5</v>
      </c>
      <c r="C25" s="35">
        <v>0</v>
      </c>
      <c r="D25" s="36">
        <v>-0.1022342041</v>
      </c>
      <c r="E25" s="36">
        <v>3.1873298899999999E-2</v>
      </c>
      <c r="F25" s="7"/>
      <c r="G25" s="1" t="s">
        <v>171</v>
      </c>
      <c r="H25" s="1" t="s">
        <v>172</v>
      </c>
      <c r="N25" s="12"/>
      <c r="O25" s="36"/>
      <c r="P25" s="85"/>
      <c r="Q25" s="35"/>
      <c r="R25" s="35"/>
      <c r="S25" s="35"/>
      <c r="T25" s="85"/>
      <c r="U25" s="35"/>
      <c r="V25" s="82"/>
      <c r="W25" s="82"/>
      <c r="Y25" s="12"/>
      <c r="AB25" s="82"/>
      <c r="AC25" s="82"/>
      <c r="AE25" s="12"/>
    </row>
    <row r="26" spans="1:31" x14ac:dyDescent="0.25">
      <c r="A26" s="28"/>
      <c r="B26" s="7">
        <v>8.75</v>
      </c>
      <c r="C26" s="35">
        <v>0</v>
      </c>
      <c r="D26" s="36">
        <v>-9.6264071800000003E-2</v>
      </c>
      <c r="E26" s="36">
        <v>2.5962500600000001E-2</v>
      </c>
      <c r="F26" s="7"/>
      <c r="N26" s="12"/>
      <c r="O26" s="36"/>
      <c r="P26" s="85"/>
      <c r="Q26" s="35"/>
      <c r="R26" s="35"/>
      <c r="S26" s="35"/>
      <c r="T26" s="85"/>
      <c r="U26" s="35"/>
      <c r="V26" s="82"/>
      <c r="W26" s="35"/>
      <c r="X26" s="35"/>
      <c r="Y26" s="35"/>
      <c r="Z26" s="12"/>
      <c r="AA26" s="12"/>
      <c r="AB26" s="12"/>
      <c r="AC26" s="12"/>
      <c r="AE26" s="12"/>
    </row>
    <row r="27" spans="1:31" x14ac:dyDescent="0.25">
      <c r="A27" s="28"/>
      <c r="B27" s="7">
        <v>9</v>
      </c>
      <c r="C27" s="35">
        <v>0</v>
      </c>
      <c r="D27" s="36">
        <v>-8.9680726099999997E-2</v>
      </c>
      <c r="E27" s="36">
        <v>2.05607576E-2</v>
      </c>
      <c r="F27" s="7"/>
      <c r="G27" s="11" t="s">
        <v>148</v>
      </c>
      <c r="N27" s="12"/>
      <c r="O27" s="36"/>
      <c r="P27" s="85"/>
      <c r="Q27" s="35"/>
      <c r="R27" s="35"/>
      <c r="S27" s="35"/>
      <c r="T27" s="85"/>
      <c r="U27" s="35"/>
      <c r="V27" s="82"/>
      <c r="W27" s="35"/>
      <c r="X27" s="35"/>
      <c r="Y27" s="35"/>
      <c r="Z27" s="12"/>
      <c r="AA27" s="12"/>
      <c r="AB27" s="12"/>
      <c r="AC27" s="12"/>
      <c r="AE27" s="12"/>
    </row>
    <row r="28" spans="1:31" x14ac:dyDescent="0.25">
      <c r="A28" s="28"/>
      <c r="B28" s="7">
        <v>9.25</v>
      </c>
      <c r="C28" s="35">
        <v>0</v>
      </c>
      <c r="D28" s="36">
        <v>-8.2486026399999995E-2</v>
      </c>
      <c r="E28" s="36">
        <v>1.56610862E-2</v>
      </c>
      <c r="F28" s="7"/>
      <c r="G28" s="9" t="s">
        <v>45</v>
      </c>
      <c r="N28" s="12"/>
      <c r="O28" s="36"/>
      <c r="P28" s="85"/>
      <c r="Q28" s="35"/>
      <c r="R28" s="35"/>
      <c r="S28" s="35"/>
      <c r="T28" s="85"/>
      <c r="U28" s="35"/>
      <c r="V28" s="82"/>
      <c r="W28" s="82"/>
      <c r="Y28" s="12"/>
      <c r="AB28" s="82"/>
      <c r="AC28" s="82"/>
      <c r="AE28" s="12"/>
    </row>
    <row r="29" spans="1:31" x14ac:dyDescent="0.25">
      <c r="A29" s="28"/>
      <c r="B29" s="7">
        <v>9.5</v>
      </c>
      <c r="C29" s="35">
        <v>0</v>
      </c>
      <c r="D29" s="36">
        <v>-7.4684006999999997E-2</v>
      </c>
      <c r="E29" s="36">
        <v>1.12366585E-2</v>
      </c>
      <c r="F29" s="7"/>
      <c r="G29" s="9"/>
      <c r="N29" s="12"/>
      <c r="O29" s="36"/>
      <c r="P29" s="85"/>
      <c r="Q29" s="35"/>
      <c r="R29" s="35"/>
      <c r="S29" s="35"/>
      <c r="T29" s="85"/>
      <c r="U29" s="35"/>
      <c r="V29" s="82"/>
      <c r="W29" s="82"/>
      <c r="Y29" s="12"/>
      <c r="AB29" s="82"/>
      <c r="AC29" s="82"/>
      <c r="AE29" s="12"/>
    </row>
    <row r="30" spans="1:31" x14ac:dyDescent="0.25">
      <c r="A30" s="28"/>
      <c r="B30" s="7">
        <v>9.75</v>
      </c>
      <c r="C30" s="35">
        <v>0</v>
      </c>
      <c r="D30" s="36">
        <v>-6.6295688500000005E-2</v>
      </c>
      <c r="E30" s="36">
        <v>7.2475630999999999E-3</v>
      </c>
      <c r="F30" s="7"/>
      <c r="G30" s="60" t="s">
        <v>54</v>
      </c>
      <c r="N30" s="12"/>
      <c r="O30" s="36"/>
      <c r="P30" s="85"/>
      <c r="Q30" s="35"/>
      <c r="R30" s="35"/>
      <c r="S30" s="35"/>
      <c r="T30" s="85"/>
      <c r="U30" s="35"/>
      <c r="V30" s="82"/>
      <c r="W30" s="82"/>
      <c r="Y30" s="12"/>
      <c r="AB30" s="82"/>
      <c r="AC30" s="82"/>
      <c r="AE30" s="12"/>
    </row>
    <row r="31" spans="1:31" x14ac:dyDescent="0.25">
      <c r="A31" s="28"/>
      <c r="B31" s="7">
        <v>10</v>
      </c>
      <c r="C31" s="35">
        <v>0</v>
      </c>
      <c r="D31" s="36">
        <v>-5.7347673600000003E-2</v>
      </c>
      <c r="E31" s="36">
        <v>3.6549656999999998E-3</v>
      </c>
      <c r="F31" s="7"/>
      <c r="G31" s="10" t="s">
        <v>175</v>
      </c>
      <c r="N31" s="12"/>
      <c r="O31" s="36"/>
      <c r="P31" s="85"/>
      <c r="Q31" s="35"/>
      <c r="R31" s="35"/>
      <c r="S31" s="35"/>
      <c r="T31" s="85"/>
      <c r="U31" s="35"/>
      <c r="V31" s="82"/>
      <c r="W31" s="82"/>
      <c r="Y31" s="12"/>
      <c r="AB31" s="82"/>
      <c r="AC31" s="82"/>
      <c r="AE31" s="12"/>
    </row>
    <row r="32" spans="1:31" x14ac:dyDescent="0.25">
      <c r="A32" s="28"/>
      <c r="B32" s="7">
        <v>10.25</v>
      </c>
      <c r="C32" s="35">
        <v>0</v>
      </c>
      <c r="D32" s="36">
        <v>-4.7902326799999999E-2</v>
      </c>
      <c r="E32" s="36">
        <v>4.1671120000000002E-4</v>
      </c>
      <c r="G32" s="10" t="s">
        <v>53</v>
      </c>
      <c r="I32" s="36"/>
      <c r="N32" s="12"/>
      <c r="O32" s="36"/>
      <c r="P32" s="85"/>
      <c r="Q32" s="35"/>
      <c r="R32" s="35"/>
      <c r="S32" s="35"/>
      <c r="T32" s="85"/>
      <c r="U32" s="35"/>
      <c r="V32" s="82"/>
      <c r="W32" s="82"/>
      <c r="Y32" s="12"/>
      <c r="AB32" s="82"/>
      <c r="AC32" s="82"/>
      <c r="AE32" s="12"/>
    </row>
    <row r="33" spans="1:29" x14ac:dyDescent="0.25">
      <c r="A33" s="28"/>
      <c r="B33" s="7">
        <v>10.5</v>
      </c>
      <c r="C33" s="35">
        <v>0</v>
      </c>
      <c r="D33" s="36">
        <v>-3.8032662600000003E-2</v>
      </c>
      <c r="E33" s="36">
        <v>-2.5125182000000001E-3</v>
      </c>
      <c r="G33" s="1" t="s">
        <v>55</v>
      </c>
      <c r="H33" s="35"/>
      <c r="N33" s="12"/>
      <c r="O33" s="36"/>
      <c r="P33" s="85"/>
      <c r="Q33" s="35"/>
      <c r="R33" s="35"/>
      <c r="S33" s="35"/>
      <c r="T33" s="85"/>
      <c r="U33" s="35"/>
      <c r="V33" s="35"/>
      <c r="W33" s="35"/>
      <c r="X33" s="35"/>
      <c r="Y33" s="35"/>
      <c r="Z33" s="12"/>
      <c r="AA33" s="12"/>
      <c r="AB33" s="12"/>
      <c r="AC33" s="12"/>
    </row>
    <row r="34" spans="1:29" x14ac:dyDescent="0.25">
      <c r="A34" s="28"/>
      <c r="B34" s="7">
        <v>10.75</v>
      </c>
      <c r="C34" s="35">
        <v>0</v>
      </c>
      <c r="D34" s="36">
        <v>-2.7792878399999998E-2</v>
      </c>
      <c r="E34" s="36">
        <v>-5.1794531999999997E-3</v>
      </c>
      <c r="I34" s="85"/>
      <c r="N34" s="12"/>
      <c r="O34" s="36"/>
      <c r="P34" s="85"/>
      <c r="Q34" s="35"/>
      <c r="R34" s="35"/>
      <c r="S34" s="35"/>
      <c r="T34" s="85"/>
      <c r="U34" s="35"/>
      <c r="V34" s="35"/>
      <c r="W34" s="35"/>
      <c r="X34" s="35"/>
      <c r="Y34" s="35"/>
      <c r="Z34" s="12"/>
      <c r="AA34" s="12"/>
      <c r="AB34" s="12"/>
      <c r="AC34" s="12"/>
    </row>
    <row r="35" spans="1:29" x14ac:dyDescent="0.25">
      <c r="A35" s="28"/>
      <c r="B35" s="7">
        <v>11</v>
      </c>
      <c r="C35" s="35">
        <v>0</v>
      </c>
      <c r="D35" s="36">
        <v>-1.7208349899999999E-2</v>
      </c>
      <c r="E35" s="36">
        <v>-7.6252563999999997E-3</v>
      </c>
      <c r="I35" s="85"/>
      <c r="L35" s="111"/>
      <c r="N35" s="12"/>
      <c r="O35" s="36"/>
      <c r="P35" s="85"/>
      <c r="Q35" s="35"/>
      <c r="R35" s="35"/>
      <c r="S35" s="35"/>
      <c r="T35" s="85"/>
      <c r="U35" s="35"/>
      <c r="V35" s="35"/>
      <c r="W35" s="35"/>
      <c r="X35" s="35"/>
      <c r="Y35" s="35"/>
      <c r="Z35" s="12"/>
      <c r="AA35" s="12"/>
      <c r="AB35" s="12"/>
      <c r="AC35" s="12"/>
    </row>
    <row r="36" spans="1:29" x14ac:dyDescent="0.25">
      <c r="A36" s="28"/>
      <c r="B36" s="7">
        <v>11.25</v>
      </c>
      <c r="C36" s="35">
        <v>0</v>
      </c>
      <c r="D36" s="36">
        <v>-6.3132288999999996E-3</v>
      </c>
      <c r="E36" s="36">
        <v>-9.8886796999999999E-3</v>
      </c>
      <c r="G36" s="12"/>
      <c r="I36" s="85"/>
      <c r="J36" s="20"/>
      <c r="N36" s="12"/>
      <c r="O36" s="111"/>
      <c r="P36" s="85"/>
      <c r="Q36" s="35"/>
      <c r="R36" s="35"/>
      <c r="S36" s="35"/>
      <c r="T36" s="85"/>
      <c r="U36" s="82"/>
      <c r="V36" s="82"/>
      <c r="X36" s="12"/>
      <c r="AA36" s="12"/>
      <c r="AB36" s="12"/>
      <c r="AC36" s="12"/>
    </row>
    <row r="37" spans="1:29" x14ac:dyDescent="0.25">
      <c r="A37" s="28"/>
      <c r="B37" s="7">
        <v>11.5</v>
      </c>
      <c r="C37" s="35">
        <v>0</v>
      </c>
      <c r="D37" s="36">
        <v>4.8154443999999996E-3</v>
      </c>
      <c r="E37" s="36">
        <v>-1.20088121E-2</v>
      </c>
      <c r="G37" s="12"/>
      <c r="I37" s="85"/>
      <c r="J37" s="20"/>
      <c r="N37" s="12"/>
      <c r="O37" s="111"/>
      <c r="P37" s="85"/>
      <c r="Q37" s="86"/>
      <c r="R37" s="35"/>
      <c r="S37" s="35"/>
      <c r="T37" s="85"/>
      <c r="U37" s="82"/>
      <c r="V37" s="82"/>
      <c r="X37" s="12"/>
      <c r="AA37" s="12"/>
      <c r="AB37" s="12"/>
      <c r="AC37" s="12"/>
    </row>
    <row r="38" spans="1:29" x14ac:dyDescent="0.25">
      <c r="A38" s="28"/>
      <c r="B38" s="7">
        <v>11.75</v>
      </c>
      <c r="C38" s="35">
        <v>0</v>
      </c>
      <c r="D38" s="36">
        <v>1.60714858E-2</v>
      </c>
      <c r="E38" s="36">
        <v>-1.40194072E-2</v>
      </c>
      <c r="G38" s="12"/>
      <c r="I38" s="85"/>
      <c r="J38" s="20"/>
      <c r="P38" s="12"/>
      <c r="Q38" s="12"/>
      <c r="R38" s="69"/>
      <c r="S38" s="35"/>
      <c r="T38" s="85"/>
      <c r="U38" s="82"/>
      <c r="V38" s="82"/>
      <c r="X38" s="12"/>
      <c r="AA38" s="12"/>
      <c r="AB38" s="12"/>
      <c r="AC38" s="12"/>
    </row>
    <row r="39" spans="1:29" x14ac:dyDescent="0.25">
      <c r="A39" s="28"/>
      <c r="B39" s="7">
        <v>12</v>
      </c>
      <c r="C39" s="35">
        <v>0</v>
      </c>
      <c r="D39" s="36">
        <v>2.7353302199999999E-2</v>
      </c>
      <c r="E39" s="36">
        <v>-1.5951457200000001E-2</v>
      </c>
      <c r="G39" s="12"/>
      <c r="I39" s="85"/>
      <c r="J39" s="20"/>
      <c r="P39" s="12"/>
      <c r="Q39" s="12"/>
      <c r="R39" s="69"/>
      <c r="S39" s="35"/>
      <c r="T39" s="85"/>
      <c r="U39" s="82"/>
      <c r="V39" s="82"/>
      <c r="X39" s="12"/>
      <c r="AA39" s="12"/>
      <c r="AB39" s="12"/>
      <c r="AC39" s="12"/>
    </row>
    <row r="40" spans="1:29" x14ac:dyDescent="0.25">
      <c r="A40" s="28"/>
      <c r="B40" s="7">
        <v>12.25</v>
      </c>
      <c r="C40" s="35">
        <v>0</v>
      </c>
      <c r="D40" s="36">
        <v>3.8565957200000001E-2</v>
      </c>
      <c r="E40" s="36">
        <v>-1.7833412699999999E-2</v>
      </c>
      <c r="G40" s="12"/>
      <c r="I40" s="85"/>
      <c r="J40" s="20"/>
      <c r="P40" s="12"/>
      <c r="Q40" s="12"/>
      <c r="R40" s="69"/>
      <c r="S40" s="35"/>
      <c r="T40" s="85"/>
      <c r="U40" s="82"/>
      <c r="V40" s="82"/>
      <c r="X40" s="12"/>
      <c r="AA40" s="12"/>
      <c r="AB40" s="12"/>
      <c r="AC40" s="12"/>
    </row>
    <row r="41" spans="1:29" x14ac:dyDescent="0.25">
      <c r="A41" s="28"/>
      <c r="B41" s="7">
        <v>12.5</v>
      </c>
      <c r="C41" s="35">
        <v>0</v>
      </c>
      <c r="D41" s="36">
        <v>4.9620694999999999E-2</v>
      </c>
      <c r="E41" s="36">
        <v>-1.9686705499999999E-2</v>
      </c>
      <c r="G41" s="12"/>
      <c r="H41" s="7"/>
      <c r="I41" s="85"/>
      <c r="J41" s="20"/>
      <c r="P41" s="12"/>
      <c r="Q41" s="12"/>
      <c r="R41" s="69"/>
      <c r="S41" s="35"/>
      <c r="T41" s="85"/>
      <c r="U41" s="82"/>
      <c r="V41" s="82"/>
      <c r="X41" s="12"/>
    </row>
    <row r="42" spans="1:29" x14ac:dyDescent="0.25">
      <c r="A42" s="28"/>
      <c r="B42" s="7">
        <v>12.75</v>
      </c>
      <c r="C42" s="35">
        <v>0</v>
      </c>
      <c r="D42" s="36">
        <v>6.04330935E-2</v>
      </c>
      <c r="E42" s="36">
        <v>-2.15217846E-2</v>
      </c>
      <c r="G42" s="12"/>
      <c r="H42" s="7"/>
      <c r="I42" s="85"/>
      <c r="J42" s="20"/>
      <c r="P42" s="12"/>
      <c r="Q42" s="12"/>
      <c r="R42" s="69"/>
      <c r="S42" s="35"/>
      <c r="T42" s="85"/>
      <c r="U42" s="82"/>
      <c r="V42" s="82"/>
      <c r="X42" s="12"/>
    </row>
    <row r="43" spans="1:29" x14ac:dyDescent="0.25">
      <c r="A43" s="28"/>
      <c r="B43" s="7">
        <v>13</v>
      </c>
      <c r="C43" s="35">
        <v>0</v>
      </c>
      <c r="D43" s="36">
        <v>7.09281316E-2</v>
      </c>
      <c r="E43" s="36">
        <v>-2.3342037600000001E-2</v>
      </c>
      <c r="G43" s="12"/>
      <c r="H43" s="7"/>
      <c r="I43" s="85"/>
      <c r="J43" s="20"/>
      <c r="P43" s="12"/>
      <c r="Q43" s="12"/>
      <c r="R43" s="69"/>
      <c r="S43" s="35"/>
      <c r="T43" s="85"/>
      <c r="U43" s="82"/>
      <c r="V43" s="82"/>
      <c r="X43" s="12"/>
    </row>
    <row r="44" spans="1:29" x14ac:dyDescent="0.25">
      <c r="A44" s="28"/>
      <c r="B44" s="7">
        <v>13.25</v>
      </c>
      <c r="C44" s="35">
        <v>0</v>
      </c>
      <c r="D44" s="36">
        <v>8.1045556099999999E-2</v>
      </c>
      <c r="E44" s="36">
        <v>-2.5147918799999999E-2</v>
      </c>
      <c r="G44" s="12"/>
      <c r="H44" s="7"/>
      <c r="I44" s="85"/>
      <c r="P44" s="12"/>
      <c r="Q44" s="12"/>
      <c r="R44" s="69"/>
      <c r="S44" s="35"/>
      <c r="T44" s="82"/>
      <c r="U44" s="82"/>
      <c r="V44" s="82"/>
      <c r="X44" s="12"/>
    </row>
    <row r="45" spans="1:29" x14ac:dyDescent="0.25">
      <c r="A45" s="28"/>
      <c r="B45" s="7">
        <v>13.5</v>
      </c>
      <c r="C45" s="35">
        <v>0</v>
      </c>
      <c r="D45" s="36">
        <v>9.0727680399999996E-2</v>
      </c>
      <c r="E45" s="36">
        <v>-2.6937766500000002E-2</v>
      </c>
      <c r="G45" s="12"/>
      <c r="H45" s="7"/>
      <c r="I45" s="85"/>
      <c r="S45" s="35"/>
      <c r="T45" s="82"/>
      <c r="U45" s="82"/>
      <c r="V45" s="82"/>
      <c r="X45" s="12"/>
    </row>
    <row r="46" spans="1:29" x14ac:dyDescent="0.25">
      <c r="A46" s="28"/>
      <c r="B46" s="7">
        <v>13.75</v>
      </c>
      <c r="C46" s="35">
        <v>0</v>
      </c>
      <c r="D46" s="36">
        <v>9.9931694400000007E-2</v>
      </c>
      <c r="E46" s="36">
        <v>-2.8710441900000001E-2</v>
      </c>
      <c r="G46" s="12"/>
      <c r="H46" s="7"/>
      <c r="I46" s="85"/>
      <c r="J46" s="20"/>
      <c r="S46" s="35"/>
      <c r="T46" s="82"/>
      <c r="U46" s="82"/>
      <c r="V46" s="82"/>
      <c r="X46" s="12"/>
    </row>
    <row r="47" spans="1:29" x14ac:dyDescent="0.25">
      <c r="A47" s="28"/>
      <c r="B47" s="7">
        <v>14</v>
      </c>
      <c r="C47" s="35">
        <v>0</v>
      </c>
      <c r="D47" s="36">
        <v>0.1086288153</v>
      </c>
      <c r="E47" s="36">
        <v>-3.0466521100000001E-2</v>
      </c>
      <c r="G47" s="12"/>
      <c r="H47" s="7"/>
      <c r="I47" s="85"/>
      <c r="J47" s="20"/>
      <c r="S47" s="35"/>
      <c r="T47" s="82"/>
      <c r="U47" s="82"/>
      <c r="V47" s="82"/>
      <c r="X47" s="12"/>
    </row>
    <row r="48" spans="1:29" x14ac:dyDescent="0.25">
      <c r="A48" s="28"/>
      <c r="B48" s="7">
        <v>14.25</v>
      </c>
      <c r="C48" s="35">
        <v>0</v>
      </c>
      <c r="D48" s="36">
        <v>0.1167979745</v>
      </c>
      <c r="E48" s="36">
        <v>-3.2206396900000003E-2</v>
      </c>
      <c r="G48" s="12"/>
      <c r="H48" s="7"/>
      <c r="I48" s="85"/>
      <c r="J48" s="20"/>
      <c r="S48" s="35"/>
      <c r="T48" s="82"/>
      <c r="U48" s="82"/>
      <c r="V48" s="82"/>
      <c r="X48" s="12"/>
    </row>
    <row r="49" spans="1:24" x14ac:dyDescent="0.25">
      <c r="A49" s="28"/>
      <c r="B49" s="7">
        <v>14.5</v>
      </c>
      <c r="C49" s="35">
        <v>0</v>
      </c>
      <c r="D49" s="36">
        <v>0.1244125838</v>
      </c>
      <c r="E49" s="36">
        <v>-3.3927992900000002E-2</v>
      </c>
      <c r="H49" s="7"/>
      <c r="I49" s="85"/>
      <c r="J49" s="20"/>
      <c r="S49" s="35"/>
      <c r="T49" s="82"/>
      <c r="U49" s="82"/>
      <c r="V49" s="82"/>
      <c r="X49" s="12"/>
    </row>
    <row r="50" spans="1:24" x14ac:dyDescent="0.25">
      <c r="A50" s="28"/>
      <c r="B50" s="7">
        <v>14.75</v>
      </c>
      <c r="C50" s="35">
        <v>0</v>
      </c>
      <c r="D50" s="36">
        <v>0.13145696539999999</v>
      </c>
      <c r="E50" s="36">
        <v>-3.56285478E-2</v>
      </c>
      <c r="H50" s="7"/>
      <c r="I50" s="85"/>
      <c r="J50" s="20"/>
      <c r="S50" s="35"/>
      <c r="T50" s="82"/>
      <c r="U50" s="82"/>
      <c r="V50" s="82"/>
      <c r="X50" s="12"/>
    </row>
    <row r="51" spans="1:24" x14ac:dyDescent="0.25">
      <c r="A51" s="28"/>
      <c r="B51" s="7">
        <v>15</v>
      </c>
      <c r="C51" s="35">
        <v>0</v>
      </c>
      <c r="D51" s="36">
        <v>0.13792930880000001</v>
      </c>
      <c r="E51" s="36">
        <v>-3.7305088100000001E-2</v>
      </c>
      <c r="H51" s="7"/>
      <c r="I51" s="85"/>
      <c r="J51" s="20"/>
      <c r="S51" s="35"/>
      <c r="T51" s="82"/>
      <c r="U51" s="82"/>
      <c r="V51" s="82"/>
      <c r="X51" s="12"/>
    </row>
    <row r="52" spans="1:24" x14ac:dyDescent="0.25">
      <c r="A52" s="28"/>
      <c r="B52" s="7">
        <v>15.25</v>
      </c>
      <c r="C52" s="35">
        <v>0</v>
      </c>
      <c r="D52" s="36">
        <v>0.14383380600000001</v>
      </c>
      <c r="E52" s="36">
        <v>-3.8954725400000001E-2</v>
      </c>
      <c r="H52" s="7"/>
      <c r="I52" s="85"/>
      <c r="S52" s="35"/>
      <c r="T52" s="82"/>
      <c r="U52" s="82"/>
      <c r="V52" s="82"/>
      <c r="X52" s="12"/>
    </row>
    <row r="53" spans="1:24" x14ac:dyDescent="0.25">
      <c r="A53" s="28"/>
      <c r="B53" s="7">
        <v>15.5</v>
      </c>
      <c r="C53" s="35">
        <v>0</v>
      </c>
      <c r="D53" s="36">
        <v>0.14917773679999999</v>
      </c>
      <c r="E53" s="36">
        <v>-4.0575003499999998E-2</v>
      </c>
      <c r="I53" s="85"/>
      <c r="S53" s="35"/>
      <c r="T53" s="82"/>
      <c r="U53" s="82"/>
      <c r="V53" s="82"/>
      <c r="X53" s="12"/>
    </row>
    <row r="54" spans="1:24" x14ac:dyDescent="0.25">
      <c r="A54" s="28"/>
      <c r="B54" s="7">
        <v>15.75</v>
      </c>
      <c r="C54" s="35">
        <v>0</v>
      </c>
      <c r="D54" s="36">
        <v>0.15397869310000001</v>
      </c>
      <c r="E54" s="36">
        <v>-4.2163647999999998E-2</v>
      </c>
      <c r="G54" s="12"/>
      <c r="I54" s="85"/>
      <c r="S54" s="35"/>
      <c r="T54" s="82"/>
      <c r="U54" s="82"/>
      <c r="V54" s="82"/>
      <c r="X54" s="12"/>
    </row>
    <row r="55" spans="1:24" x14ac:dyDescent="0.25">
      <c r="A55" s="28"/>
      <c r="B55" s="7">
        <v>16</v>
      </c>
      <c r="C55" s="35">
        <v>0</v>
      </c>
      <c r="D55" s="36">
        <v>0.15826797610000001</v>
      </c>
      <c r="E55" s="36">
        <v>-4.3717129100000002E-2</v>
      </c>
      <c r="G55" s="12"/>
      <c r="I55" s="85"/>
      <c r="S55" s="35"/>
      <c r="T55" s="82"/>
      <c r="U55" s="82"/>
      <c r="V55" s="82"/>
      <c r="X55" s="12"/>
    </row>
    <row r="56" spans="1:24" x14ac:dyDescent="0.25">
      <c r="A56" s="28"/>
      <c r="B56" s="7">
        <v>16.25</v>
      </c>
      <c r="C56" s="35">
        <v>0</v>
      </c>
      <c r="D56" s="36">
        <v>0.16208115140000001</v>
      </c>
      <c r="E56" s="36">
        <v>-4.5232259800000001E-2</v>
      </c>
      <c r="G56" s="12"/>
      <c r="H56" s="7"/>
      <c r="I56" s="85"/>
      <c r="S56" s="35"/>
      <c r="T56" s="82"/>
      <c r="U56" s="82"/>
      <c r="V56" s="82"/>
      <c r="X56" s="12"/>
    </row>
    <row r="57" spans="1:24" x14ac:dyDescent="0.25">
      <c r="A57" s="28"/>
      <c r="B57" s="7">
        <v>16.5</v>
      </c>
      <c r="C57" s="35">
        <v>0</v>
      </c>
      <c r="D57" s="36">
        <v>0.16546140309999999</v>
      </c>
      <c r="E57" s="36">
        <v>-4.6706146800000001E-2</v>
      </c>
      <c r="G57" s="12"/>
      <c r="H57" s="13"/>
      <c r="I57" s="85"/>
      <c r="S57" s="35"/>
      <c r="T57" s="82"/>
      <c r="U57" s="82"/>
      <c r="V57" s="82"/>
      <c r="X57" s="12"/>
    </row>
    <row r="58" spans="1:24" x14ac:dyDescent="0.25">
      <c r="A58" s="28"/>
      <c r="B58" s="7">
        <v>16.75</v>
      </c>
      <c r="C58" s="35">
        <v>0</v>
      </c>
      <c r="D58" s="36">
        <v>0.1684467214</v>
      </c>
      <c r="E58" s="36">
        <v>-4.8136574299999998E-2</v>
      </c>
      <c r="G58" s="12"/>
      <c r="H58" s="13"/>
      <c r="I58" s="85"/>
      <c r="S58" s="35"/>
      <c r="T58" s="82"/>
      <c r="U58" s="82"/>
      <c r="V58" s="82"/>
      <c r="X58" s="12"/>
    </row>
    <row r="59" spans="1:24" x14ac:dyDescent="0.25">
      <c r="A59" s="28"/>
      <c r="B59" s="7">
        <v>17</v>
      </c>
      <c r="C59" s="35">
        <v>0</v>
      </c>
      <c r="D59" s="36">
        <v>0.17106607469999999</v>
      </c>
      <c r="E59" s="36">
        <v>-4.9522350800000003E-2</v>
      </c>
      <c r="H59" s="13"/>
      <c r="I59" s="112"/>
      <c r="S59" s="35"/>
      <c r="T59" s="82"/>
      <c r="U59" s="82"/>
      <c r="V59" s="82"/>
      <c r="X59" s="12"/>
    </row>
    <row r="60" spans="1:24" x14ac:dyDescent="0.25">
      <c r="A60" s="28"/>
      <c r="B60" s="7">
        <v>17.25</v>
      </c>
      <c r="C60" s="35">
        <v>0</v>
      </c>
      <c r="D60" s="36">
        <v>0.17334923229999999</v>
      </c>
      <c r="E60" s="36">
        <v>-5.0862652500000001E-2</v>
      </c>
      <c r="H60" s="13"/>
      <c r="I60" s="112"/>
      <c r="S60" s="35"/>
      <c r="T60" s="82"/>
      <c r="U60" s="82"/>
      <c r="V60" s="82"/>
    </row>
    <row r="61" spans="1:24" ht="12" customHeight="1" x14ac:dyDescent="0.25">
      <c r="A61" s="28"/>
      <c r="B61" s="7">
        <v>17.5</v>
      </c>
      <c r="C61" s="35">
        <v>0</v>
      </c>
      <c r="D61" s="36">
        <v>0.17532856529999999</v>
      </c>
      <c r="E61" s="36">
        <v>-5.2157149299999997E-2</v>
      </c>
      <c r="H61" s="13"/>
      <c r="I61" s="112"/>
      <c r="J61" s="7"/>
      <c r="K61" s="7"/>
      <c r="L61" s="96"/>
      <c r="S61" s="35"/>
      <c r="T61" s="82"/>
      <c r="U61" s="82"/>
      <c r="V61" s="82"/>
    </row>
    <row r="62" spans="1:24" x14ac:dyDescent="0.25">
      <c r="A62" s="28"/>
      <c r="B62" s="7">
        <v>17.75</v>
      </c>
      <c r="C62" s="35">
        <v>0</v>
      </c>
      <c r="D62" s="36">
        <v>0.17703327930000001</v>
      </c>
      <c r="E62" s="36">
        <v>-5.3405615900000002E-2</v>
      </c>
      <c r="H62" s="13"/>
      <c r="I62" s="112"/>
      <c r="S62" s="35"/>
      <c r="T62" s="82"/>
      <c r="U62" s="82"/>
      <c r="V62" s="82"/>
    </row>
    <row r="63" spans="1:24" x14ac:dyDescent="0.25">
      <c r="A63" s="28"/>
      <c r="B63" s="7">
        <v>18</v>
      </c>
      <c r="C63" s="35">
        <v>0</v>
      </c>
      <c r="D63" s="36">
        <v>0.17849047430000001</v>
      </c>
      <c r="E63" s="36">
        <v>-5.4607635199999997E-2</v>
      </c>
      <c r="H63" s="13"/>
      <c r="I63" s="112"/>
      <c r="S63" s="35"/>
      <c r="T63" s="82"/>
      <c r="U63" s="82"/>
      <c r="V63" s="82"/>
    </row>
    <row r="64" spans="1:24" x14ac:dyDescent="0.25">
      <c r="A64" s="28"/>
      <c r="B64" s="7">
        <v>18.25</v>
      </c>
      <c r="C64" s="35">
        <v>0</v>
      </c>
      <c r="D64" s="36">
        <v>0.1797248676</v>
      </c>
      <c r="E64" s="36">
        <v>-5.5763294599999999E-2</v>
      </c>
      <c r="H64" s="13"/>
      <c r="I64" s="96"/>
      <c r="S64" s="35"/>
      <c r="T64" s="82"/>
      <c r="U64" s="82"/>
      <c r="V64" s="82"/>
    </row>
    <row r="65" spans="1:22" x14ac:dyDescent="0.25">
      <c r="A65" s="28"/>
      <c r="B65" s="7">
        <v>18.5</v>
      </c>
      <c r="C65" s="35">
        <v>0</v>
      </c>
      <c r="D65" s="36">
        <v>0.18076101950000001</v>
      </c>
      <c r="E65" s="36">
        <v>-5.6874104500000001E-2</v>
      </c>
      <c r="H65" s="7"/>
      <c r="I65" s="96"/>
      <c r="J65" s="14"/>
      <c r="K65" s="14"/>
      <c r="L65" s="112"/>
      <c r="S65" s="35"/>
      <c r="T65" s="82"/>
      <c r="U65" s="82"/>
      <c r="V65" s="82"/>
    </row>
    <row r="66" spans="1:22" x14ac:dyDescent="0.25">
      <c r="A66" s="28"/>
      <c r="B66" s="7">
        <v>18.75</v>
      </c>
      <c r="C66" s="35">
        <v>0</v>
      </c>
      <c r="D66" s="36">
        <v>0.18162077230000001</v>
      </c>
      <c r="E66" s="36">
        <v>-5.7942303600000002E-2</v>
      </c>
      <c r="H66" s="7"/>
      <c r="I66" s="112"/>
      <c r="J66" s="14"/>
      <c r="K66" s="14"/>
      <c r="L66" s="112"/>
      <c r="S66" s="35"/>
      <c r="T66" s="82"/>
      <c r="U66" s="82"/>
      <c r="V66" s="82"/>
    </row>
    <row r="67" spans="1:22" x14ac:dyDescent="0.25">
      <c r="A67" s="28"/>
      <c r="B67" s="7">
        <v>19</v>
      </c>
      <c r="C67" s="35">
        <v>0</v>
      </c>
      <c r="D67" s="36">
        <v>0.1823234058</v>
      </c>
      <c r="E67" s="36">
        <v>-5.8970312599999998E-2</v>
      </c>
      <c r="H67" s="13"/>
      <c r="I67" s="112"/>
      <c r="J67" s="14"/>
      <c r="K67" s="14"/>
      <c r="L67" s="112"/>
      <c r="S67" s="35"/>
      <c r="T67" s="82"/>
      <c r="U67" s="82"/>
      <c r="V67" s="82"/>
    </row>
    <row r="68" spans="1:22" x14ac:dyDescent="0.25">
      <c r="A68" s="28"/>
      <c r="B68" s="7">
        <v>19.25</v>
      </c>
      <c r="C68" s="35">
        <v>0</v>
      </c>
      <c r="D68" s="36">
        <v>0.1828867737</v>
      </c>
      <c r="E68" s="36">
        <v>-5.9960407399999999E-2</v>
      </c>
      <c r="H68" s="13"/>
      <c r="I68" s="112"/>
      <c r="J68" s="14"/>
      <c r="K68" s="14"/>
      <c r="L68" s="112"/>
      <c r="S68" s="35"/>
      <c r="T68" s="82"/>
      <c r="U68" s="82"/>
      <c r="V68" s="82"/>
    </row>
    <row r="69" spans="1:22" x14ac:dyDescent="0.25">
      <c r="A69" s="28"/>
      <c r="B69" s="7">
        <v>19.5</v>
      </c>
      <c r="C69" s="35">
        <v>0</v>
      </c>
      <c r="D69" s="36">
        <v>0.18332827839999999</v>
      </c>
      <c r="E69" s="36">
        <v>-6.0914771299999997E-2</v>
      </c>
      <c r="H69" s="13"/>
      <c r="I69" s="112"/>
      <c r="J69" s="14"/>
      <c r="K69" s="14"/>
      <c r="L69" s="112"/>
      <c r="S69" s="35"/>
      <c r="T69" s="82"/>
      <c r="U69" s="82"/>
      <c r="V69" s="82"/>
    </row>
    <row r="70" spans="1:22" x14ac:dyDescent="0.25">
      <c r="A70" s="28"/>
      <c r="B70" s="7">
        <v>19.75</v>
      </c>
      <c r="C70" s="35">
        <v>0</v>
      </c>
      <c r="D70" s="36">
        <v>0.18366344470000001</v>
      </c>
      <c r="E70" s="36">
        <v>-6.1835832799999997E-2</v>
      </c>
      <c r="H70" s="13"/>
      <c r="I70" s="112"/>
      <c r="J70" s="14"/>
      <c r="K70" s="14"/>
      <c r="L70" s="112"/>
      <c r="S70" s="35"/>
      <c r="T70" s="82"/>
      <c r="U70" s="82"/>
      <c r="V70" s="82"/>
    </row>
    <row r="71" spans="1:22" x14ac:dyDescent="0.25">
      <c r="A71" s="28"/>
      <c r="B71" s="7">
        <v>20</v>
      </c>
      <c r="C71" s="35">
        <v>0</v>
      </c>
      <c r="D71" s="36">
        <v>0.18390584760000001</v>
      </c>
      <c r="E71" s="36">
        <v>-6.2726298E-2</v>
      </c>
      <c r="H71" s="13"/>
      <c r="I71" s="112"/>
      <c r="J71" s="14"/>
      <c r="K71" s="14"/>
      <c r="L71" s="112"/>
      <c r="S71" s="35"/>
      <c r="T71" s="82"/>
      <c r="U71" s="82"/>
      <c r="V71" s="82"/>
    </row>
    <row r="72" spans="1:22" x14ac:dyDescent="0.25">
      <c r="A72" s="28"/>
      <c r="B72" s="7">
        <v>20.25</v>
      </c>
      <c r="C72" s="35">
        <v>0</v>
      </c>
      <c r="D72" s="36">
        <v>0.18406689309999999</v>
      </c>
      <c r="E72" s="36">
        <v>-6.3589187399999997E-2</v>
      </c>
      <c r="H72" s="13"/>
      <c r="I72" s="112"/>
      <c r="J72" s="14"/>
      <c r="K72" s="14"/>
      <c r="L72" s="112"/>
      <c r="S72" s="35"/>
      <c r="T72" s="82"/>
      <c r="U72" s="82"/>
      <c r="V72" s="82"/>
    </row>
    <row r="73" spans="1:22" x14ac:dyDescent="0.25">
      <c r="A73" s="28"/>
      <c r="B73" s="7">
        <v>20.5</v>
      </c>
      <c r="C73" s="35">
        <v>0</v>
      </c>
      <c r="D73" s="36">
        <v>0.1841514356</v>
      </c>
      <c r="E73" s="36">
        <v>-6.4428270199999998E-2</v>
      </c>
      <c r="H73" s="13"/>
      <c r="I73" s="112"/>
      <c r="J73" s="7"/>
      <c r="K73" s="7"/>
      <c r="L73" s="96"/>
      <c r="S73" s="35"/>
      <c r="T73" s="82"/>
      <c r="U73" s="82"/>
      <c r="V73" s="82"/>
    </row>
    <row r="74" spans="1:22" x14ac:dyDescent="0.25">
      <c r="A74" s="28"/>
      <c r="B74" s="7">
        <v>20.75</v>
      </c>
      <c r="C74" s="35">
        <v>0</v>
      </c>
      <c r="D74" s="36">
        <v>0.18416197179999999</v>
      </c>
      <c r="E74" s="36">
        <v>-6.5247157099999994E-2</v>
      </c>
      <c r="H74" s="13"/>
      <c r="J74" s="7"/>
      <c r="K74" s="7"/>
      <c r="L74" s="96"/>
      <c r="S74" s="35"/>
      <c r="T74" s="82"/>
      <c r="U74" s="82"/>
      <c r="V74" s="82"/>
    </row>
    <row r="75" spans="1:22" x14ac:dyDescent="0.25">
      <c r="A75" s="28"/>
      <c r="B75" s="7">
        <v>21</v>
      </c>
      <c r="C75" s="35">
        <v>0</v>
      </c>
      <c r="D75" s="36">
        <v>0.18410076889999999</v>
      </c>
      <c r="E75" s="36">
        <v>-6.6049281200000004E-2</v>
      </c>
      <c r="J75" s="7"/>
      <c r="K75" s="7"/>
      <c r="L75" s="96"/>
      <c r="S75" s="35"/>
      <c r="T75" s="82"/>
      <c r="U75" s="82"/>
      <c r="V75" s="82"/>
    </row>
    <row r="76" spans="1:22" ht="12" customHeight="1" x14ac:dyDescent="0.25">
      <c r="A76" s="28"/>
      <c r="B76" s="7">
        <v>21.25</v>
      </c>
      <c r="C76" s="35">
        <v>0</v>
      </c>
      <c r="D76" s="36">
        <v>0.18397057520000001</v>
      </c>
      <c r="E76" s="36">
        <v>-6.6837834099999993E-2</v>
      </c>
      <c r="J76" s="7"/>
      <c r="K76" s="7"/>
      <c r="L76" s="96"/>
      <c r="S76" s="35"/>
      <c r="T76" s="82"/>
      <c r="U76" s="82"/>
      <c r="V76" s="82"/>
    </row>
    <row r="77" spans="1:22" x14ac:dyDescent="0.25">
      <c r="A77" s="28"/>
      <c r="B77" s="7">
        <v>21.5</v>
      </c>
      <c r="C77" s="35">
        <v>0</v>
      </c>
      <c r="D77" s="36">
        <v>0.18377237809999999</v>
      </c>
      <c r="E77" s="36">
        <v>-6.7615458899999994E-2</v>
      </c>
      <c r="S77" s="35"/>
      <c r="T77" s="82"/>
      <c r="U77" s="82"/>
      <c r="V77" s="82"/>
    </row>
    <row r="78" spans="1:22" x14ac:dyDescent="0.25">
      <c r="A78" s="28"/>
      <c r="B78" s="7">
        <v>21.75</v>
      </c>
      <c r="C78" s="35">
        <v>0</v>
      </c>
      <c r="D78" s="36">
        <v>0.1835078547</v>
      </c>
      <c r="E78" s="36">
        <v>-6.8384595899999998E-2</v>
      </c>
      <c r="S78" s="35"/>
      <c r="T78" s="82"/>
      <c r="U78" s="82"/>
      <c r="V78" s="82"/>
    </row>
    <row r="79" spans="1:22" x14ac:dyDescent="0.25">
      <c r="A79" s="28"/>
      <c r="B79" s="7">
        <v>22</v>
      </c>
      <c r="C79" s="35">
        <v>0</v>
      </c>
      <c r="D79" s="36">
        <v>0.183179284</v>
      </c>
      <c r="E79" s="36">
        <v>-6.9147318999999999E-2</v>
      </c>
      <c r="S79" s="35"/>
      <c r="T79" s="82"/>
      <c r="U79" s="82"/>
      <c r="V79" s="82"/>
    </row>
    <row r="80" spans="1:22" x14ac:dyDescent="0.25">
      <c r="A80" s="28"/>
      <c r="B80" s="7">
        <v>22.25</v>
      </c>
      <c r="C80" s="35">
        <v>0</v>
      </c>
      <c r="D80" s="36">
        <v>0.18278845790000001</v>
      </c>
      <c r="E80" s="36">
        <v>-6.9905412400000005E-2</v>
      </c>
      <c r="J80" s="14"/>
      <c r="K80" s="14"/>
      <c r="L80" s="112"/>
      <c r="S80" s="35"/>
      <c r="T80" s="82"/>
      <c r="U80" s="82"/>
      <c r="V80" s="82"/>
    </row>
    <row r="81" spans="1:22" x14ac:dyDescent="0.25">
      <c r="A81" s="28"/>
      <c r="B81" s="7">
        <v>22.5</v>
      </c>
      <c r="C81" s="35">
        <v>0</v>
      </c>
      <c r="D81" s="36">
        <v>0.18233587070000001</v>
      </c>
      <c r="E81" s="36">
        <v>-7.0659689999999997E-2</v>
      </c>
      <c r="J81" s="14"/>
      <c r="K81" s="14"/>
      <c r="L81" s="112"/>
      <c r="S81" s="35"/>
      <c r="T81" s="82"/>
      <c r="U81" s="82"/>
      <c r="V81" s="82"/>
    </row>
    <row r="82" spans="1:22" x14ac:dyDescent="0.25">
      <c r="A82" s="28"/>
      <c r="B82" s="7">
        <v>22.75</v>
      </c>
      <c r="C82" s="35">
        <v>0</v>
      </c>
      <c r="D82" s="36">
        <v>0.18182242870000001</v>
      </c>
      <c r="E82" s="36">
        <v>-7.1410196699999998E-2</v>
      </c>
      <c r="J82" s="14"/>
      <c r="K82" s="14"/>
      <c r="L82" s="112"/>
      <c r="S82" s="35"/>
      <c r="T82" s="82"/>
      <c r="U82" s="82"/>
      <c r="V82" s="82"/>
    </row>
    <row r="83" spans="1:22" x14ac:dyDescent="0.25">
      <c r="A83" s="28"/>
      <c r="B83" s="7">
        <v>23</v>
      </c>
      <c r="C83" s="35">
        <v>0</v>
      </c>
      <c r="D83" s="36">
        <v>0.1812498159</v>
      </c>
      <c r="E83" s="36">
        <v>-7.21568873E-2</v>
      </c>
      <c r="J83" s="14"/>
      <c r="K83" s="14"/>
      <c r="L83" s="112"/>
      <c r="S83" s="35"/>
      <c r="T83" s="82"/>
      <c r="U83" s="82"/>
      <c r="V83" s="82"/>
    </row>
    <row r="84" spans="1:22" x14ac:dyDescent="0.25">
      <c r="A84" s="28"/>
      <c r="B84" s="7">
        <v>23.25</v>
      </c>
      <c r="C84" s="35">
        <v>0</v>
      </c>
      <c r="D84" s="36">
        <v>0.18062132680000001</v>
      </c>
      <c r="E84" s="36">
        <v>-7.2899862300000007E-2</v>
      </c>
      <c r="J84" s="14"/>
      <c r="K84" s="14"/>
      <c r="L84" s="112"/>
      <c r="S84" s="35"/>
      <c r="T84" s="82"/>
      <c r="U84" s="82"/>
      <c r="V84" s="82"/>
    </row>
    <row r="85" spans="1:22" x14ac:dyDescent="0.25">
      <c r="A85" s="28"/>
      <c r="B85" s="7">
        <v>23.5</v>
      </c>
      <c r="C85" s="35">
        <v>0</v>
      </c>
      <c r="D85" s="36">
        <v>0.17994367050000001</v>
      </c>
      <c r="E85" s="36">
        <v>-7.3639436599999997E-2</v>
      </c>
      <c r="J85" s="14"/>
      <c r="K85" s="14"/>
      <c r="L85" s="112"/>
      <c r="S85" s="35"/>
      <c r="T85" s="82"/>
      <c r="U85" s="82"/>
      <c r="V85" s="82"/>
    </row>
    <row r="86" spans="1:22" x14ac:dyDescent="0.25">
      <c r="A86" s="28"/>
      <c r="B86" s="7">
        <v>23.75</v>
      </c>
      <c r="C86" s="35">
        <v>0</v>
      </c>
      <c r="D86" s="36">
        <v>0.17922490360000001</v>
      </c>
      <c r="E86" s="36">
        <v>-7.43757996E-2</v>
      </c>
      <c r="J86" s="14"/>
      <c r="K86" s="14"/>
      <c r="L86" s="112"/>
      <c r="S86" s="35"/>
      <c r="T86" s="82"/>
      <c r="U86" s="82"/>
      <c r="V86" s="82"/>
    </row>
    <row r="87" spans="1:22" x14ac:dyDescent="0.25">
      <c r="A87" s="28"/>
      <c r="B87" s="7">
        <v>24</v>
      </c>
      <c r="C87" s="35">
        <v>0</v>
      </c>
      <c r="D87" s="36">
        <v>0.17847365109999999</v>
      </c>
      <c r="E87" s="36">
        <v>-7.5109005899999998E-2</v>
      </c>
      <c r="J87" s="14"/>
      <c r="K87" s="14"/>
      <c r="L87" s="112"/>
      <c r="S87" s="35"/>
      <c r="T87" s="82"/>
      <c r="U87" s="82"/>
      <c r="V87" s="82"/>
    </row>
    <row r="88" spans="1:22" x14ac:dyDescent="0.25">
      <c r="A88" s="28"/>
      <c r="B88" s="7">
        <v>24.25</v>
      </c>
      <c r="C88" s="35">
        <v>0</v>
      </c>
      <c r="D88" s="36">
        <v>0.1776982144</v>
      </c>
      <c r="E88" s="36">
        <v>-7.5839020500000007E-2</v>
      </c>
      <c r="S88" s="35"/>
      <c r="T88" s="82"/>
      <c r="U88" s="82"/>
      <c r="V88" s="82"/>
    </row>
    <row r="89" spans="1:22" x14ac:dyDescent="0.25">
      <c r="A89" s="28"/>
      <c r="B89" s="7">
        <v>24.5</v>
      </c>
      <c r="C89" s="35">
        <v>0</v>
      </c>
      <c r="D89" s="36">
        <v>0.17690460899999999</v>
      </c>
      <c r="E89" s="36">
        <v>-7.6565564899999994E-2</v>
      </c>
      <c r="S89" s="35"/>
      <c r="T89" s="82"/>
      <c r="U89" s="82"/>
      <c r="V89" s="82"/>
    </row>
    <row r="90" spans="1:22" x14ac:dyDescent="0.25">
      <c r="A90" s="28"/>
      <c r="B90" s="7">
        <v>24.75</v>
      </c>
      <c r="C90" s="35">
        <v>0</v>
      </c>
      <c r="D90" s="36">
        <v>0.17609866669999999</v>
      </c>
      <c r="E90" s="36">
        <v>-7.72883454E-2</v>
      </c>
      <c r="S90" s="35"/>
      <c r="T90" s="82"/>
      <c r="U90" s="82"/>
      <c r="V90" s="82"/>
    </row>
    <row r="91" spans="1:22" x14ac:dyDescent="0.25">
      <c r="A91" s="28"/>
      <c r="B91" s="7">
        <v>25</v>
      </c>
      <c r="C91" s="35">
        <v>0</v>
      </c>
      <c r="D91" s="36">
        <v>0.17528653920000001</v>
      </c>
      <c r="E91" s="36">
        <v>-7.8006915199999999E-2</v>
      </c>
      <c r="S91" s="35"/>
      <c r="T91" s="82"/>
      <c r="U91" s="82"/>
      <c r="V91" s="82"/>
    </row>
    <row r="92" spans="1:22" x14ac:dyDescent="0.25">
      <c r="A92" s="28"/>
      <c r="B92" s="7">
        <v>25.25</v>
      </c>
      <c r="C92" s="35">
        <v>0</v>
      </c>
      <c r="D92" s="36">
        <v>0.174473347</v>
      </c>
      <c r="E92" s="36">
        <v>-7.8720896400000004E-2</v>
      </c>
      <c r="S92" s="35"/>
      <c r="T92" s="82"/>
      <c r="U92" s="82"/>
      <c r="V92" s="82"/>
    </row>
    <row r="93" spans="1:22" x14ac:dyDescent="0.25">
      <c r="A93" s="28"/>
      <c r="B93" s="7">
        <v>25.5</v>
      </c>
      <c r="C93" s="35">
        <v>0</v>
      </c>
      <c r="D93" s="36">
        <v>0.1736627496</v>
      </c>
      <c r="E93" s="36">
        <v>-7.9430039499999994E-2</v>
      </c>
      <c r="S93" s="35"/>
      <c r="T93" s="82"/>
      <c r="U93" s="82"/>
      <c r="V93" s="82"/>
    </row>
    <row r="94" spans="1:22" x14ac:dyDescent="0.25">
      <c r="A94" s="28"/>
      <c r="B94" s="7">
        <v>25.75</v>
      </c>
      <c r="C94" s="35">
        <v>0</v>
      </c>
      <c r="D94" s="36">
        <v>0.1728579895</v>
      </c>
      <c r="E94" s="36">
        <v>-8.0134256299999998E-2</v>
      </c>
      <c r="S94" s="35"/>
      <c r="T94" s="82"/>
      <c r="U94" s="82"/>
      <c r="V94" s="82"/>
    </row>
    <row r="95" spans="1:22" x14ac:dyDescent="0.25">
      <c r="A95" s="28"/>
      <c r="B95" s="7">
        <v>26</v>
      </c>
      <c r="C95" s="35">
        <v>0</v>
      </c>
      <c r="D95" s="36">
        <v>0.17206207030000001</v>
      </c>
      <c r="E95" s="36">
        <v>-8.0833560299999996E-2</v>
      </c>
      <c r="S95" s="35"/>
      <c r="T95" s="82"/>
      <c r="U95" s="82"/>
      <c r="V95" s="82"/>
    </row>
    <row r="96" spans="1:22" x14ac:dyDescent="0.25">
      <c r="A96" s="28"/>
      <c r="B96" s="7">
        <v>26.25</v>
      </c>
      <c r="C96" s="35">
        <v>0</v>
      </c>
      <c r="D96" s="36">
        <v>0.1712764896</v>
      </c>
      <c r="E96" s="36">
        <v>-8.1527953299999997E-2</v>
      </c>
      <c r="S96" s="35"/>
      <c r="T96" s="82"/>
      <c r="U96" s="82"/>
      <c r="V96" s="82"/>
    </row>
    <row r="97" spans="1:22" x14ac:dyDescent="0.25">
      <c r="A97" s="28"/>
      <c r="B97" s="7">
        <v>26.5</v>
      </c>
      <c r="C97" s="35">
        <v>0</v>
      </c>
      <c r="D97" s="36">
        <v>0.17049812449999999</v>
      </c>
      <c r="E97" s="36">
        <v>-8.2216996400000006E-2</v>
      </c>
      <c r="S97" s="35"/>
      <c r="T97" s="82"/>
      <c r="U97" s="82"/>
      <c r="V97" s="82"/>
    </row>
    <row r="98" spans="1:22" x14ac:dyDescent="0.25">
      <c r="A98" s="28"/>
      <c r="B98" s="7">
        <v>26.75</v>
      </c>
      <c r="C98" s="35">
        <v>0</v>
      </c>
      <c r="D98" s="36">
        <v>0.1697240747</v>
      </c>
      <c r="E98" s="36">
        <v>-8.2900075200000006E-2</v>
      </c>
      <c r="S98" s="35"/>
      <c r="T98" s="82"/>
      <c r="U98" s="82"/>
      <c r="V98" s="82"/>
    </row>
    <row r="99" spans="1:22" x14ac:dyDescent="0.25">
      <c r="A99" s="28"/>
      <c r="B99" s="7">
        <v>27</v>
      </c>
      <c r="C99" s="35">
        <v>0</v>
      </c>
      <c r="D99" s="36">
        <v>0.16895250049999999</v>
      </c>
      <c r="E99" s="36">
        <v>-8.35765968E-2</v>
      </c>
      <c r="S99" s="35"/>
      <c r="T99" s="82"/>
      <c r="U99" s="82"/>
      <c r="V99" s="82"/>
    </row>
    <row r="100" spans="1:22" x14ac:dyDescent="0.25">
      <c r="A100" s="28"/>
      <c r="B100" s="7">
        <v>27.25</v>
      </c>
      <c r="C100" s="35">
        <v>0</v>
      </c>
      <c r="D100" s="36">
        <v>0.1681812751</v>
      </c>
      <c r="E100" s="36">
        <v>-8.4246095800000004E-2</v>
      </c>
      <c r="S100" s="35"/>
      <c r="T100" s="82"/>
      <c r="U100" s="82"/>
      <c r="V100" s="82"/>
    </row>
    <row r="101" spans="1:22" x14ac:dyDescent="0.25">
      <c r="A101" s="28"/>
      <c r="B101" s="7">
        <v>27.5</v>
      </c>
      <c r="C101" s="35">
        <v>0</v>
      </c>
      <c r="D101" s="36">
        <v>0.16740656409999999</v>
      </c>
      <c r="E101" s="36">
        <v>-8.4908046200000004E-2</v>
      </c>
      <c r="S101" s="35"/>
      <c r="T101" s="82"/>
      <c r="U101" s="82"/>
      <c r="V101" s="82"/>
    </row>
    <row r="102" spans="1:22" x14ac:dyDescent="0.25">
      <c r="A102" s="28"/>
      <c r="B102" s="7">
        <v>27.75</v>
      </c>
      <c r="C102" s="35">
        <v>0</v>
      </c>
      <c r="D102" s="36">
        <v>0.16662485630000001</v>
      </c>
      <c r="E102" s="36">
        <v>-8.5561831599999999E-2</v>
      </c>
      <c r="S102" s="35"/>
      <c r="T102" s="82"/>
      <c r="U102" s="82"/>
      <c r="V102" s="82"/>
    </row>
    <row r="103" spans="1:22" x14ac:dyDescent="0.25">
      <c r="A103" s="28"/>
      <c r="B103" s="7">
        <v>28</v>
      </c>
      <c r="C103" s="35">
        <v>0</v>
      </c>
      <c r="D103" s="36">
        <v>0.16583359810000001</v>
      </c>
      <c r="E103" s="36">
        <v>-8.6206780699999999E-2</v>
      </c>
      <c r="S103" s="35"/>
      <c r="T103" s="82"/>
      <c r="U103" s="82"/>
      <c r="V103" s="82"/>
    </row>
    <row r="104" spans="1:22" x14ac:dyDescent="0.25">
      <c r="A104" s="28"/>
      <c r="B104" s="7">
        <v>28.25</v>
      </c>
      <c r="C104" s="35">
        <v>0</v>
      </c>
      <c r="D104" s="36">
        <v>0.1650313816</v>
      </c>
      <c r="E104" s="36">
        <v>-8.6842009600000006E-2</v>
      </c>
      <c r="S104" s="35"/>
      <c r="T104" s="82"/>
      <c r="U104" s="82"/>
      <c r="V104" s="82"/>
    </row>
    <row r="105" spans="1:22" x14ac:dyDescent="0.25">
      <c r="A105" s="28"/>
      <c r="B105" s="7">
        <v>28.5</v>
      </c>
      <c r="C105" s="35">
        <v>0</v>
      </c>
      <c r="D105" s="36">
        <v>0.1642167568</v>
      </c>
      <c r="E105" s="36">
        <v>-8.74663881E-2</v>
      </c>
      <c r="S105" s="35"/>
      <c r="T105" s="82"/>
      <c r="U105" s="82"/>
      <c r="V105" s="82"/>
    </row>
    <row r="106" spans="1:22" x14ac:dyDescent="0.25">
      <c r="B106" s="7">
        <v>28.75</v>
      </c>
      <c r="C106" s="35">
        <v>0</v>
      </c>
      <c r="D106" s="36">
        <v>0.16338860459999999</v>
      </c>
      <c r="E106" s="36">
        <v>-8.8078752600000004E-2</v>
      </c>
      <c r="S106" s="35"/>
      <c r="T106" s="82"/>
      <c r="U106" s="82"/>
      <c r="V106" s="82"/>
    </row>
    <row r="107" spans="1:22" x14ac:dyDescent="0.25">
      <c r="B107" s="7">
        <v>29</v>
      </c>
      <c r="C107" s="35">
        <v>0</v>
      </c>
      <c r="D107" s="36">
        <v>0.16254643090000001</v>
      </c>
      <c r="E107" s="36">
        <v>-8.8677996499999995E-2</v>
      </c>
      <c r="S107" s="35"/>
      <c r="T107" s="82"/>
      <c r="U107" s="82"/>
      <c r="V107" s="82"/>
    </row>
    <row r="108" spans="1:22" x14ac:dyDescent="0.25">
      <c r="B108" s="7">
        <v>29.25</v>
      </c>
      <c r="C108" s="35">
        <v>0</v>
      </c>
      <c r="D108" s="36">
        <v>0.1616899527</v>
      </c>
      <c r="E108" s="36">
        <v>-8.9263104900000001E-2</v>
      </c>
      <c r="S108" s="35"/>
      <c r="T108" s="82"/>
      <c r="U108" s="82"/>
      <c r="V108" s="82"/>
    </row>
    <row r="109" spans="1:22" x14ac:dyDescent="0.25">
      <c r="B109" s="7">
        <v>29.5</v>
      </c>
      <c r="C109" s="35">
        <v>0</v>
      </c>
      <c r="D109" s="36">
        <v>0.1608183926</v>
      </c>
      <c r="E109" s="36">
        <v>-8.9833017400000006E-2</v>
      </c>
      <c r="S109" s="35"/>
      <c r="T109" s="82"/>
      <c r="U109" s="82"/>
      <c r="V109" s="82"/>
    </row>
    <row r="110" spans="1:22" x14ac:dyDescent="0.25">
      <c r="B110" s="7">
        <v>29.75</v>
      </c>
      <c r="C110" s="35">
        <v>0</v>
      </c>
      <c r="D110" s="36">
        <v>0.15993146280000001</v>
      </c>
      <c r="E110" s="36">
        <v>-9.0386695200000006E-2</v>
      </c>
      <c r="S110" s="35"/>
      <c r="T110" s="82"/>
      <c r="U110" s="82"/>
      <c r="V110" s="82"/>
    </row>
    <row r="111" spans="1:22" x14ac:dyDescent="0.25">
      <c r="B111" s="7">
        <v>30</v>
      </c>
      <c r="C111" s="35">
        <v>0</v>
      </c>
      <c r="D111" s="36">
        <v>0.159029473</v>
      </c>
      <c r="E111" s="36">
        <v>-9.0923213500000002E-2</v>
      </c>
      <c r="S111" s="35"/>
      <c r="T111" s="82"/>
      <c r="U111" s="82"/>
      <c r="V111" s="82"/>
    </row>
    <row r="112" spans="1:22" x14ac:dyDescent="0.25">
      <c r="B112" s="7">
        <v>30.25</v>
      </c>
      <c r="C112" s="35">
        <v>0</v>
      </c>
      <c r="D112" s="36">
        <v>0.1581129828</v>
      </c>
      <c r="E112" s="36">
        <v>-9.1441666899999996E-2</v>
      </c>
      <c r="S112" s="35"/>
      <c r="T112" s="82"/>
      <c r="U112" s="82"/>
      <c r="V112" s="82"/>
    </row>
    <row r="113" spans="2:22" x14ac:dyDescent="0.25">
      <c r="B113" s="7">
        <v>30.5</v>
      </c>
      <c r="C113" s="35">
        <v>0</v>
      </c>
      <c r="D113" s="36">
        <v>0.15718142809999999</v>
      </c>
      <c r="E113" s="36">
        <v>-9.19410913E-2</v>
      </c>
      <c r="S113" s="35"/>
      <c r="T113" s="82"/>
      <c r="U113" s="82"/>
      <c r="V113" s="82"/>
    </row>
    <row r="114" spans="2:22" x14ac:dyDescent="0.25">
      <c r="B114" s="7">
        <v>30.75</v>
      </c>
      <c r="C114" s="35">
        <v>0</v>
      </c>
      <c r="D114" s="36">
        <v>0.15623389730000001</v>
      </c>
      <c r="E114" s="36">
        <v>-9.24205481E-2</v>
      </c>
      <c r="S114" s="35"/>
      <c r="T114" s="82"/>
      <c r="U114" s="82"/>
      <c r="V114" s="82"/>
    </row>
    <row r="115" spans="2:22" x14ac:dyDescent="0.25">
      <c r="B115" s="7">
        <v>31</v>
      </c>
      <c r="C115" s="35">
        <v>0</v>
      </c>
      <c r="D115" s="36">
        <v>0.1552696418</v>
      </c>
      <c r="E115" s="36">
        <v>-9.2879178899999998E-2</v>
      </c>
      <c r="S115" s="35"/>
      <c r="T115" s="82"/>
      <c r="U115" s="82"/>
      <c r="V115" s="82"/>
    </row>
    <row r="116" spans="2:22" x14ac:dyDescent="0.25">
      <c r="B116" s="7">
        <v>31.25</v>
      </c>
      <c r="C116" s="35">
        <v>0</v>
      </c>
      <c r="D116" s="36">
        <v>0.1542875802</v>
      </c>
      <c r="E116" s="36">
        <v>-9.3316149400000006E-2</v>
      </c>
      <c r="S116" s="35"/>
      <c r="T116" s="82"/>
      <c r="U116" s="82"/>
      <c r="V116" s="82"/>
    </row>
    <row r="117" spans="2:22" x14ac:dyDescent="0.25">
      <c r="B117" s="7">
        <v>31.5</v>
      </c>
      <c r="C117" s="35">
        <v>0</v>
      </c>
      <c r="D117" s="36">
        <v>0.15328531640000001</v>
      </c>
      <c r="E117" s="36">
        <v>-9.3730421800000005E-2</v>
      </c>
      <c r="S117" s="35"/>
      <c r="T117" s="82"/>
      <c r="U117" s="82"/>
      <c r="V117" s="82"/>
    </row>
    <row r="118" spans="2:22" x14ac:dyDescent="0.25">
      <c r="B118" s="7">
        <v>31.75</v>
      </c>
      <c r="C118" s="35">
        <v>0</v>
      </c>
      <c r="D118" s="36">
        <v>0.1522607003</v>
      </c>
      <c r="E118" s="36">
        <v>-9.4120932399999996E-2</v>
      </c>
      <c r="S118" s="35"/>
      <c r="T118" s="82"/>
      <c r="U118" s="82"/>
      <c r="V118" s="82"/>
    </row>
    <row r="119" spans="2:22" x14ac:dyDescent="0.25">
      <c r="B119" s="7">
        <v>32</v>
      </c>
      <c r="C119" s="35">
        <v>0</v>
      </c>
      <c r="D119" s="36">
        <v>0.15121174979999999</v>
      </c>
      <c r="E119" s="36">
        <v>-9.4486702000000006E-2</v>
      </c>
      <c r="S119" s="35"/>
      <c r="T119" s="82"/>
      <c r="U119" s="82"/>
      <c r="V119" s="82"/>
    </row>
    <row r="120" spans="2:22" x14ac:dyDescent="0.25">
      <c r="B120" s="7">
        <v>32.25</v>
      </c>
      <c r="C120" s="35">
        <v>0</v>
      </c>
      <c r="D120" s="36">
        <v>0.1501367183</v>
      </c>
      <c r="E120" s="36">
        <v>-9.4826828599999996E-2</v>
      </c>
      <c r="S120" s="35"/>
      <c r="T120" s="82"/>
      <c r="U120" s="82"/>
      <c r="V120" s="82"/>
    </row>
    <row r="121" spans="2:22" x14ac:dyDescent="0.25">
      <c r="B121" s="7">
        <v>32.5</v>
      </c>
      <c r="C121" s="35">
        <v>0</v>
      </c>
      <c r="D121" s="36">
        <v>0.14903469019999999</v>
      </c>
      <c r="E121" s="36">
        <v>-9.5140438699999996E-2</v>
      </c>
      <c r="S121" s="35"/>
      <c r="T121" s="82"/>
      <c r="U121" s="82"/>
      <c r="V121" s="82"/>
    </row>
    <row r="122" spans="2:22" x14ac:dyDescent="0.25">
      <c r="B122" s="7">
        <v>32.75</v>
      </c>
      <c r="C122" s="35">
        <v>0</v>
      </c>
      <c r="D122" s="36">
        <v>0.1479054447</v>
      </c>
      <c r="E122" s="36">
        <v>-9.5426708400000004E-2</v>
      </c>
      <c r="S122" s="35"/>
      <c r="T122" s="82"/>
      <c r="U122" s="82"/>
      <c r="V122" s="82"/>
    </row>
    <row r="123" spans="2:22" x14ac:dyDescent="0.25">
      <c r="B123" s="7">
        <v>33</v>
      </c>
      <c r="C123" s="35">
        <v>0</v>
      </c>
      <c r="D123" s="36">
        <v>0.1467492541</v>
      </c>
      <c r="E123" s="36">
        <v>-9.5684852900000006E-2</v>
      </c>
      <c r="S123" s="35"/>
      <c r="T123" s="82"/>
      <c r="U123" s="82"/>
      <c r="V123" s="82"/>
    </row>
    <row r="124" spans="2:22" x14ac:dyDescent="0.25">
      <c r="B124" s="7">
        <v>33.25</v>
      </c>
      <c r="C124" s="35">
        <v>0</v>
      </c>
      <c r="D124" s="36">
        <v>0.14556622459999999</v>
      </c>
      <c r="E124" s="36">
        <v>-9.5914139199999998E-2</v>
      </c>
      <c r="S124" s="35"/>
      <c r="T124" s="82"/>
      <c r="U124" s="82"/>
      <c r="V124" s="82"/>
    </row>
    <row r="125" spans="2:22" x14ac:dyDescent="0.25">
      <c r="B125" s="7">
        <v>33.5</v>
      </c>
      <c r="C125" s="35">
        <v>0</v>
      </c>
      <c r="D125" s="36">
        <v>0.14435557909999999</v>
      </c>
      <c r="E125" s="36">
        <v>-9.6114058399999994E-2</v>
      </c>
      <c r="S125" s="35"/>
      <c r="T125" s="82"/>
      <c r="U125" s="82"/>
      <c r="V125" s="82"/>
    </row>
    <row r="126" spans="2:22" x14ac:dyDescent="0.25">
      <c r="B126" s="7">
        <v>33.75</v>
      </c>
      <c r="C126" s="35">
        <v>0</v>
      </c>
      <c r="D126" s="36">
        <v>0.1431166281</v>
      </c>
      <c r="E126" s="36">
        <v>-9.6284237100000003E-2</v>
      </c>
      <c r="S126" s="35"/>
      <c r="T126" s="82"/>
      <c r="U126" s="82"/>
      <c r="V126" s="82"/>
    </row>
    <row r="127" spans="2:22" ht="14.4" x14ac:dyDescent="0.3">
      <c r="B127" s="7">
        <v>34</v>
      </c>
      <c r="C127" s="35">
        <v>0</v>
      </c>
      <c r="D127" s="36">
        <v>0.14184943650000001</v>
      </c>
      <c r="E127" s="36">
        <v>-9.6424263999999996E-2</v>
      </c>
      <c r="J127" s="81"/>
      <c r="K127" s="80"/>
      <c r="L127" s="113"/>
      <c r="M127" s="80"/>
      <c r="S127" s="35"/>
      <c r="T127" s="82"/>
      <c r="U127" s="82"/>
      <c r="V127" s="82"/>
    </row>
    <row r="128" spans="2:22" ht="14.4" x14ac:dyDescent="0.3">
      <c r="B128" s="7">
        <v>34.25</v>
      </c>
      <c r="C128" s="35">
        <v>0</v>
      </c>
      <c r="D128" s="36">
        <v>0.14055474609999999</v>
      </c>
      <c r="E128" s="36">
        <v>-9.6533624499999998E-2</v>
      </c>
      <c r="J128" s="77"/>
      <c r="K128" s="83"/>
      <c r="L128" s="78"/>
      <c r="M128" s="83"/>
      <c r="S128" s="35"/>
      <c r="T128" s="82"/>
      <c r="U128" s="82"/>
      <c r="V128" s="82"/>
    </row>
    <row r="129" spans="2:22" ht="14.4" x14ac:dyDescent="0.3">
      <c r="B129" s="7">
        <v>34.5</v>
      </c>
      <c r="C129" s="35">
        <v>0</v>
      </c>
      <c r="D129" s="36">
        <v>0.13923260030000001</v>
      </c>
      <c r="E129" s="36">
        <v>-9.6611641100000006E-2</v>
      </c>
      <c r="J129" s="77"/>
      <c r="K129" s="83"/>
      <c r="L129" s="78"/>
      <c r="M129" s="83"/>
      <c r="S129" s="35"/>
      <c r="T129" s="82"/>
      <c r="U129" s="82"/>
      <c r="V129" s="82"/>
    </row>
    <row r="130" spans="2:22" x14ac:dyDescent="0.25">
      <c r="B130" s="7">
        <v>34.75</v>
      </c>
      <c r="C130" s="35">
        <v>0</v>
      </c>
      <c r="D130" s="36">
        <v>0.13788347710000001</v>
      </c>
      <c r="E130" s="36">
        <v>-9.6657545999999997E-2</v>
      </c>
      <c r="S130" s="35"/>
      <c r="T130" s="82"/>
      <c r="U130" s="82"/>
      <c r="V130" s="82"/>
    </row>
    <row r="131" spans="2:22" x14ac:dyDescent="0.25">
      <c r="B131" s="7">
        <v>35</v>
      </c>
      <c r="C131" s="35">
        <v>0</v>
      </c>
      <c r="D131" s="36">
        <v>0.13650802640000001</v>
      </c>
      <c r="E131" s="36">
        <v>-9.66705957E-2</v>
      </c>
      <c r="S131" s="35"/>
      <c r="T131" s="82"/>
      <c r="U131" s="82"/>
      <c r="V131" s="82"/>
    </row>
    <row r="132" spans="2:22" x14ac:dyDescent="0.25">
      <c r="B132" s="7">
        <v>35.25</v>
      </c>
      <c r="C132" s="35">
        <v>0</v>
      </c>
      <c r="D132" s="36">
        <v>0.13510697839999999</v>
      </c>
      <c r="E132" s="36">
        <v>-9.6650055700000001E-2</v>
      </c>
      <c r="S132" s="35"/>
      <c r="T132" s="82"/>
      <c r="U132" s="82"/>
      <c r="V132" s="82"/>
    </row>
    <row r="133" spans="2:22" x14ac:dyDescent="0.25">
      <c r="B133" s="7">
        <v>35.5</v>
      </c>
      <c r="C133" s="35">
        <v>0</v>
      </c>
      <c r="D133" s="36">
        <v>0.13368047159999999</v>
      </c>
      <c r="E133" s="36">
        <v>-9.6595055799999996E-2</v>
      </c>
      <c r="S133" s="35"/>
      <c r="T133" s="82"/>
      <c r="U133" s="82"/>
      <c r="V133" s="82"/>
    </row>
    <row r="134" spans="2:22" x14ac:dyDescent="0.25">
      <c r="B134" s="7">
        <v>35.75</v>
      </c>
      <c r="C134" s="35">
        <v>0</v>
      </c>
      <c r="D134" s="36">
        <v>0.13222830690000001</v>
      </c>
      <c r="E134" s="36">
        <v>-9.6504773899999993E-2</v>
      </c>
      <c r="S134" s="35"/>
      <c r="T134" s="82"/>
      <c r="U134" s="82"/>
      <c r="V134" s="82"/>
    </row>
    <row r="135" spans="2:22" x14ac:dyDescent="0.25">
      <c r="B135" s="7">
        <v>36</v>
      </c>
      <c r="C135" s="35">
        <v>0</v>
      </c>
      <c r="D135" s="36">
        <v>0.1307501791</v>
      </c>
      <c r="E135" s="36">
        <v>-9.63784902E-2</v>
      </c>
      <c r="S135" s="35"/>
      <c r="T135" s="82"/>
      <c r="U135" s="82"/>
      <c r="V135" s="82"/>
    </row>
    <row r="136" spans="2:22" x14ac:dyDescent="0.25">
      <c r="B136" s="7">
        <v>36.25</v>
      </c>
      <c r="C136" s="35">
        <v>0</v>
      </c>
      <c r="D136" s="36">
        <v>0.12924600410000001</v>
      </c>
      <c r="E136" s="36">
        <v>-9.6215599400000004E-2</v>
      </c>
      <c r="S136" s="35"/>
      <c r="T136" s="82"/>
      <c r="U136" s="82"/>
      <c r="V136" s="82"/>
    </row>
    <row r="137" spans="2:22" x14ac:dyDescent="0.25">
      <c r="B137" s="7">
        <v>36.5</v>
      </c>
      <c r="C137" s="35">
        <v>0</v>
      </c>
      <c r="D137" s="36">
        <v>0.12771643229999999</v>
      </c>
      <c r="E137" s="36">
        <v>-9.6015599600000001E-2</v>
      </c>
      <c r="S137" s="35"/>
      <c r="T137" s="82"/>
      <c r="U137" s="82"/>
      <c r="V137" s="82"/>
    </row>
    <row r="138" spans="2:22" x14ac:dyDescent="0.25">
      <c r="B138" s="7">
        <v>36.75</v>
      </c>
      <c r="C138" s="35">
        <v>0</v>
      </c>
      <c r="D138" s="36">
        <v>0.12616222930000001</v>
      </c>
      <c r="E138" s="36">
        <v>-9.5778026200000005E-2</v>
      </c>
      <c r="S138" s="35"/>
      <c r="T138" s="82"/>
      <c r="U138" s="82"/>
      <c r="V138" s="82"/>
    </row>
    <row r="139" spans="2:22" x14ac:dyDescent="0.25">
      <c r="B139" s="7">
        <v>37</v>
      </c>
      <c r="C139" s="35">
        <v>0</v>
      </c>
      <c r="D139" s="36">
        <v>0.1245841063</v>
      </c>
      <c r="E139" s="36">
        <v>-9.5502452299999999E-2</v>
      </c>
      <c r="S139" s="35"/>
      <c r="T139" s="82"/>
      <c r="U139" s="82"/>
      <c r="V139" s="82"/>
    </row>
    <row r="140" spans="2:22" x14ac:dyDescent="0.25">
      <c r="B140" s="7">
        <v>37.25</v>
      </c>
      <c r="C140" s="35">
        <v>0</v>
      </c>
      <c r="D140" s="36">
        <v>0.1229828717</v>
      </c>
      <c r="E140" s="36">
        <v>-9.5188544999999999E-2</v>
      </c>
      <c r="S140" s="35"/>
      <c r="T140" s="82"/>
      <c r="U140" s="82"/>
      <c r="V140" s="82"/>
    </row>
    <row r="141" spans="2:22" x14ac:dyDescent="0.25">
      <c r="B141" s="7">
        <v>37.5</v>
      </c>
      <c r="C141" s="35">
        <v>0</v>
      </c>
      <c r="D141" s="36">
        <v>0.12135947060000001</v>
      </c>
      <c r="E141" s="36">
        <v>-9.4836208500000005E-2</v>
      </c>
      <c r="S141" s="35"/>
      <c r="T141" s="82"/>
      <c r="U141" s="82"/>
      <c r="V141" s="82"/>
    </row>
    <row r="142" spans="2:22" x14ac:dyDescent="0.25">
      <c r="B142" s="7">
        <v>37.75</v>
      </c>
      <c r="C142" s="35">
        <v>0</v>
      </c>
      <c r="D142" s="36">
        <v>0.1197147563</v>
      </c>
      <c r="E142" s="36">
        <v>-9.4445415000000005E-2</v>
      </c>
      <c r="S142" s="35"/>
      <c r="T142" s="82"/>
      <c r="U142" s="82"/>
      <c r="V142" s="82"/>
    </row>
    <row r="143" spans="2:22" x14ac:dyDescent="0.25">
      <c r="B143" s="7">
        <v>38</v>
      </c>
      <c r="C143" s="35">
        <v>0</v>
      </c>
      <c r="D143" s="36">
        <v>0.11804937579999999</v>
      </c>
      <c r="E143" s="36">
        <v>-9.4016122999999993E-2</v>
      </c>
      <c r="S143" s="35"/>
      <c r="T143" s="82"/>
      <c r="U143" s="82"/>
      <c r="V143" s="82"/>
    </row>
    <row r="144" spans="2:22" x14ac:dyDescent="0.25">
      <c r="B144" s="7">
        <v>38.25</v>
      </c>
      <c r="C144" s="35">
        <v>0</v>
      </c>
      <c r="D144" s="36">
        <v>0.1163636094</v>
      </c>
      <c r="E144" s="36">
        <v>-9.3548321800000001E-2</v>
      </c>
      <c r="S144" s="35"/>
      <c r="T144" s="82"/>
      <c r="U144" s="82"/>
      <c r="V144" s="82"/>
    </row>
    <row r="145" spans="2:22" x14ac:dyDescent="0.25">
      <c r="B145" s="7">
        <v>38.5</v>
      </c>
      <c r="C145" s="35">
        <v>0</v>
      </c>
      <c r="D145" s="36">
        <v>0.11465756320000001</v>
      </c>
      <c r="E145" s="36">
        <v>-9.3042179099999997E-2</v>
      </c>
      <c r="S145" s="35"/>
      <c r="T145" s="82"/>
      <c r="U145" s="82"/>
      <c r="V145" s="82"/>
    </row>
    <row r="146" spans="2:22" x14ac:dyDescent="0.25">
      <c r="B146" s="7">
        <v>38.75</v>
      </c>
      <c r="C146" s="35">
        <v>0</v>
      </c>
      <c r="D146" s="36">
        <v>0.1129315326</v>
      </c>
      <c r="E146" s="36">
        <v>-9.2497887099999995E-2</v>
      </c>
      <c r="S146" s="35"/>
      <c r="T146" s="82"/>
      <c r="U146" s="82"/>
      <c r="V146" s="82"/>
    </row>
    <row r="147" spans="2:22" x14ac:dyDescent="0.25">
      <c r="B147" s="7">
        <v>39</v>
      </c>
      <c r="C147" s="35">
        <v>0</v>
      </c>
      <c r="D147" s="36">
        <v>0.111186041</v>
      </c>
      <c r="E147" s="36">
        <v>-9.1915643699999994E-2</v>
      </c>
      <c r="S147" s="35"/>
      <c r="T147" s="82"/>
      <c r="U147" s="82"/>
      <c r="V147" s="82"/>
    </row>
    <row r="148" spans="2:22" x14ac:dyDescent="0.25">
      <c r="B148" s="7">
        <v>39.25</v>
      </c>
      <c r="C148" s="35">
        <v>0</v>
      </c>
      <c r="D148" s="36">
        <v>0.1094217181</v>
      </c>
      <c r="E148" s="36">
        <v>-9.1295674199999996E-2</v>
      </c>
      <c r="S148" s="35"/>
      <c r="T148" s="82"/>
      <c r="U148" s="82"/>
      <c r="V148" s="82"/>
    </row>
    <row r="149" spans="2:22" x14ac:dyDescent="0.25">
      <c r="B149" s="7">
        <v>39.5</v>
      </c>
      <c r="C149" s="35">
        <v>0</v>
      </c>
      <c r="D149" s="36">
        <v>0.1076390493</v>
      </c>
      <c r="E149" s="36">
        <v>-9.06382092E-2</v>
      </c>
      <c r="S149" s="35"/>
      <c r="T149" s="82"/>
      <c r="U149" s="82"/>
      <c r="V149" s="82"/>
    </row>
    <row r="150" spans="2:22" x14ac:dyDescent="0.25">
      <c r="B150" s="7">
        <v>39.75</v>
      </c>
      <c r="C150" s="35">
        <v>0</v>
      </c>
      <c r="D150" s="36">
        <v>0.10583853930000001</v>
      </c>
      <c r="E150" s="36">
        <v>-8.9943500100000004E-2</v>
      </c>
      <c r="S150" s="35"/>
      <c r="T150" s="82"/>
      <c r="U150" s="82"/>
      <c r="V150" s="82"/>
    </row>
    <row r="151" spans="2:22" x14ac:dyDescent="0.25">
      <c r="B151" s="7">
        <v>40</v>
      </c>
      <c r="C151" s="35">
        <v>0</v>
      </c>
      <c r="D151" s="36">
        <v>0.1040208072</v>
      </c>
      <c r="E151" s="36">
        <v>-8.9211820499999997E-2</v>
      </c>
      <c r="S151" s="35"/>
      <c r="T151" s="82"/>
      <c r="U151" s="82"/>
      <c r="V151" s="82"/>
    </row>
    <row r="152" spans="2:22" x14ac:dyDescent="0.25">
      <c r="B152" s="7">
        <v>40.25</v>
      </c>
      <c r="C152" s="35">
        <v>0</v>
      </c>
      <c r="D152" s="36">
        <v>0.102186369</v>
      </c>
      <c r="E152" s="36">
        <v>-8.8443437700000002E-2</v>
      </c>
      <c r="S152" s="35"/>
      <c r="T152" s="82"/>
      <c r="U152" s="82"/>
      <c r="V152" s="82"/>
    </row>
    <row r="153" spans="2:22" x14ac:dyDescent="0.25">
      <c r="B153" s="7">
        <v>40.5</v>
      </c>
      <c r="C153" s="35">
        <v>0</v>
      </c>
      <c r="D153" s="36">
        <v>0.1003354125</v>
      </c>
      <c r="E153" s="36">
        <v>-8.7638556300000003E-2</v>
      </c>
      <c r="S153" s="35"/>
      <c r="T153" s="82"/>
      <c r="U153" s="82"/>
      <c r="V153" s="82"/>
    </row>
    <row r="154" spans="2:22" x14ac:dyDescent="0.25">
      <c r="B154" s="7">
        <v>40.75</v>
      </c>
      <c r="C154" s="35">
        <v>0</v>
      </c>
      <c r="D154" s="36">
        <v>9.8468332500000005E-2</v>
      </c>
      <c r="E154" s="36">
        <v>-8.6797357399999997E-2</v>
      </c>
      <c r="S154" s="35"/>
      <c r="T154" s="82"/>
      <c r="U154" s="82"/>
      <c r="V154" s="82"/>
    </row>
    <row r="155" spans="2:22" x14ac:dyDescent="0.25">
      <c r="B155" s="7">
        <v>41</v>
      </c>
      <c r="C155" s="35">
        <v>0</v>
      </c>
      <c r="D155" s="36">
        <v>9.6585815399999997E-2</v>
      </c>
      <c r="E155" s="36">
        <v>-8.5920037800000001E-2</v>
      </c>
      <c r="S155" s="35"/>
      <c r="T155" s="82"/>
      <c r="U155" s="82"/>
      <c r="V155" s="82"/>
    </row>
    <row r="156" spans="2:22" x14ac:dyDescent="0.25">
      <c r="B156" s="7">
        <v>41.25</v>
      </c>
      <c r="C156" s="35">
        <v>0</v>
      </c>
      <c r="D156" s="36">
        <v>9.4688594200000004E-2</v>
      </c>
      <c r="E156" s="36">
        <v>-8.5006891299999998E-2</v>
      </c>
      <c r="S156" s="35"/>
      <c r="T156" s="82"/>
      <c r="U156" s="82"/>
      <c r="V156" s="82"/>
    </row>
    <row r="157" spans="2:22" x14ac:dyDescent="0.25">
      <c r="B157" s="7">
        <v>41.5</v>
      </c>
      <c r="C157" s="35">
        <v>0</v>
      </c>
      <c r="D157" s="36">
        <v>9.27771503E-2</v>
      </c>
      <c r="E157" s="36">
        <v>-8.4058514500000001E-2</v>
      </c>
      <c r="S157" s="35"/>
      <c r="T157" s="82"/>
      <c r="U157" s="82"/>
      <c r="V157" s="82"/>
    </row>
    <row r="158" spans="2:22" x14ac:dyDescent="0.25">
      <c r="B158" s="7">
        <v>41.75</v>
      </c>
      <c r="C158" s="35">
        <v>0</v>
      </c>
      <c r="D158" s="36">
        <v>9.08519723E-2</v>
      </c>
      <c r="E158" s="36">
        <v>-8.3075541399999994E-2</v>
      </c>
      <c r="S158" s="35"/>
      <c r="T158" s="82"/>
      <c r="U158" s="82"/>
      <c r="V158" s="82"/>
    </row>
    <row r="159" spans="2:22" x14ac:dyDescent="0.25">
      <c r="B159" s="7">
        <v>42</v>
      </c>
      <c r="C159" s="35">
        <v>0</v>
      </c>
      <c r="D159" s="36">
        <v>8.8913901200000006E-2</v>
      </c>
      <c r="E159" s="36">
        <v>-8.2058530700000007E-2</v>
      </c>
      <c r="S159" s="35"/>
      <c r="T159" s="82"/>
      <c r="U159" s="82"/>
      <c r="V159" s="82"/>
    </row>
    <row r="160" spans="2:22" x14ac:dyDescent="0.25">
      <c r="B160" s="7">
        <v>42.25</v>
      </c>
      <c r="C160" s="35">
        <v>0</v>
      </c>
      <c r="D160" s="36">
        <v>8.6963922400000004E-2</v>
      </c>
      <c r="E160" s="36">
        <v>-8.1008061300000003E-2</v>
      </c>
      <c r="S160" s="35"/>
      <c r="T160" s="82"/>
      <c r="U160" s="82"/>
      <c r="V160" s="82"/>
    </row>
    <row r="161" spans="2:22" x14ac:dyDescent="0.25">
      <c r="B161" s="7">
        <v>42.5</v>
      </c>
      <c r="C161" s="35">
        <v>0</v>
      </c>
      <c r="D161" s="36">
        <v>8.5002922600000003E-2</v>
      </c>
      <c r="E161" s="36">
        <v>-7.9924809499999999E-2</v>
      </c>
      <c r="S161" s="35"/>
      <c r="T161" s="82"/>
      <c r="U161" s="82"/>
      <c r="V161" s="82"/>
    </row>
    <row r="162" spans="2:22" x14ac:dyDescent="0.25">
      <c r="B162" s="7">
        <v>42.75</v>
      </c>
      <c r="C162" s="35">
        <v>0</v>
      </c>
      <c r="D162" s="36">
        <v>8.3031780099999994E-2</v>
      </c>
      <c r="E162" s="36">
        <v>-7.8809445800000003E-2</v>
      </c>
      <c r="S162" s="35"/>
      <c r="T162" s="82"/>
      <c r="U162" s="82"/>
      <c r="V162" s="82"/>
    </row>
    <row r="163" spans="2:22" x14ac:dyDescent="0.25">
      <c r="B163" s="7">
        <v>43</v>
      </c>
      <c r="C163" s="35">
        <v>0</v>
      </c>
      <c r="D163" s="36">
        <v>8.1051544899999994E-2</v>
      </c>
      <c r="E163" s="36">
        <v>-7.7662612199999995E-2</v>
      </c>
      <c r="S163" s="35"/>
      <c r="T163" s="82"/>
      <c r="U163" s="82"/>
      <c r="V163" s="82"/>
    </row>
    <row r="164" spans="2:22" x14ac:dyDescent="0.25">
      <c r="B164" s="7">
        <v>43.25</v>
      </c>
      <c r="C164" s="35">
        <v>0</v>
      </c>
      <c r="D164" s="36">
        <v>7.9063440200000001E-2</v>
      </c>
      <c r="E164" s="36">
        <v>-7.6484870400000002E-2</v>
      </c>
      <c r="S164" s="35"/>
      <c r="T164" s="82"/>
      <c r="U164" s="82"/>
      <c r="V164" s="82"/>
    </row>
    <row r="165" spans="2:22" x14ac:dyDescent="0.25">
      <c r="B165" s="7">
        <v>43.5</v>
      </c>
      <c r="C165" s="35">
        <v>0</v>
      </c>
      <c r="D165" s="36">
        <v>7.7068455699999996E-2</v>
      </c>
      <c r="E165" s="36">
        <v>-7.5276619000000003E-2</v>
      </c>
      <c r="S165" s="35"/>
      <c r="T165" s="82"/>
      <c r="U165" s="82"/>
      <c r="V165" s="82"/>
    </row>
    <row r="166" spans="2:22" x14ac:dyDescent="0.25">
      <c r="B166" s="7">
        <v>43.75</v>
      </c>
      <c r="C166" s="35">
        <v>0</v>
      </c>
      <c r="D166" s="36">
        <v>7.5067326500000003E-2</v>
      </c>
      <c r="E166" s="36">
        <v>-7.4038169000000001E-2</v>
      </c>
      <c r="S166" s="35"/>
      <c r="T166" s="82"/>
      <c r="U166" s="82"/>
      <c r="V166" s="82"/>
    </row>
    <row r="167" spans="2:22" x14ac:dyDescent="0.25">
      <c r="B167" s="7">
        <v>44</v>
      </c>
      <c r="C167" s="35">
        <v>0</v>
      </c>
      <c r="D167" s="36">
        <v>7.3060646500000007E-2</v>
      </c>
      <c r="E167" s="36">
        <v>-7.2769804300000004E-2</v>
      </c>
      <c r="S167" s="35"/>
      <c r="T167" s="82"/>
      <c r="U167" s="82"/>
      <c r="V167" s="82"/>
    </row>
    <row r="168" spans="2:22" x14ac:dyDescent="0.25">
      <c r="B168" s="7">
        <v>44.25</v>
      </c>
      <c r="C168" s="35">
        <v>0</v>
      </c>
      <c r="D168" s="36">
        <v>7.1048993500000004E-2</v>
      </c>
      <c r="E168" s="36">
        <v>-7.1471835600000005E-2</v>
      </c>
      <c r="S168" s="35"/>
      <c r="T168" s="82"/>
      <c r="U168" s="82"/>
      <c r="V168" s="82"/>
    </row>
    <row r="169" spans="2:22" x14ac:dyDescent="0.25">
      <c r="B169" s="7">
        <v>44.5</v>
      </c>
      <c r="C169" s="35">
        <v>0</v>
      </c>
      <c r="D169" s="36">
        <v>6.9032746899999997E-2</v>
      </c>
      <c r="E169" s="36">
        <v>-7.0144673599999999E-2</v>
      </c>
      <c r="S169" s="35"/>
      <c r="T169" s="82"/>
      <c r="U169" s="82"/>
      <c r="V169" s="82"/>
    </row>
    <row r="170" spans="2:22" x14ac:dyDescent="0.25">
      <c r="B170" s="7">
        <v>44.75</v>
      </c>
      <c r="C170" s="35">
        <v>0</v>
      </c>
      <c r="D170" s="36">
        <v>6.7012207500000004E-2</v>
      </c>
      <c r="E170" s="36">
        <v>-6.8788712200000005E-2</v>
      </c>
      <c r="S170" s="35"/>
      <c r="T170" s="82"/>
      <c r="U170" s="82"/>
      <c r="V170" s="82"/>
    </row>
    <row r="171" spans="2:22" x14ac:dyDescent="0.25">
      <c r="B171" s="7">
        <v>45</v>
      </c>
      <c r="C171" s="35">
        <v>0</v>
      </c>
      <c r="D171" s="36">
        <v>6.4987785699999995E-2</v>
      </c>
      <c r="E171" s="36">
        <v>-6.7404337800000005E-2</v>
      </c>
      <c r="S171" s="35"/>
      <c r="T171" s="82"/>
      <c r="U171" s="82"/>
      <c r="V171" s="82"/>
    </row>
    <row r="172" spans="2:22" x14ac:dyDescent="0.25">
      <c r="B172" s="7">
        <v>45.25</v>
      </c>
      <c r="C172" s="35">
        <v>0</v>
      </c>
      <c r="D172" s="36">
        <v>6.2959733800000001E-2</v>
      </c>
      <c r="E172" s="36">
        <v>-6.5991954199999994E-2</v>
      </c>
      <c r="S172" s="35"/>
      <c r="T172" s="82"/>
      <c r="U172" s="82"/>
      <c r="V172" s="82"/>
    </row>
    <row r="173" spans="2:22" x14ac:dyDescent="0.25">
      <c r="B173" s="7">
        <v>45.5</v>
      </c>
      <c r="C173" s="35">
        <v>0</v>
      </c>
      <c r="D173" s="36">
        <v>6.0927609700000003E-2</v>
      </c>
      <c r="E173" s="36">
        <v>-6.4551998599999993E-2</v>
      </c>
      <c r="S173" s="35"/>
      <c r="T173" s="82"/>
      <c r="U173" s="82"/>
      <c r="V173" s="82"/>
    </row>
    <row r="174" spans="2:22" x14ac:dyDescent="0.25">
      <c r="B174" s="7">
        <v>45.75</v>
      </c>
      <c r="C174" s="35">
        <v>0</v>
      </c>
      <c r="D174" s="36">
        <v>5.8890806900000002E-2</v>
      </c>
      <c r="E174" s="36">
        <v>-6.3084918300000001E-2</v>
      </c>
      <c r="S174" s="35"/>
      <c r="T174" s="82"/>
      <c r="U174" s="82"/>
      <c r="V174" s="82"/>
    </row>
    <row r="175" spans="2:22" x14ac:dyDescent="0.25">
      <c r="B175" s="7">
        <v>46</v>
      </c>
      <c r="C175" s="35">
        <v>0</v>
      </c>
      <c r="D175" s="36">
        <v>5.6848547999999999E-2</v>
      </c>
      <c r="E175" s="36">
        <v>-6.1591174399999997E-2</v>
      </c>
      <c r="S175" s="35"/>
      <c r="T175" s="82"/>
      <c r="U175" s="82"/>
      <c r="V175" s="82"/>
    </row>
    <row r="176" spans="2:22" x14ac:dyDescent="0.25">
      <c r="B176" s="7">
        <v>46.25</v>
      </c>
      <c r="C176" s="35">
        <v>0</v>
      </c>
      <c r="D176" s="36">
        <v>5.4800061800000001E-2</v>
      </c>
      <c r="E176" s="36">
        <v>-6.0071270199999999E-2</v>
      </c>
      <c r="S176" s="35"/>
      <c r="T176" s="82"/>
      <c r="U176" s="82"/>
      <c r="V176" s="82"/>
    </row>
    <row r="177" spans="2:22" x14ac:dyDescent="0.25">
      <c r="B177" s="7">
        <v>46.5</v>
      </c>
      <c r="C177" s="35">
        <v>0</v>
      </c>
      <c r="D177" s="36">
        <v>5.2744874900000002E-2</v>
      </c>
      <c r="E177" s="36">
        <v>-5.8525850499999997E-2</v>
      </c>
      <c r="S177" s="35"/>
      <c r="T177" s="82"/>
      <c r="U177" s="82"/>
      <c r="V177" s="82"/>
    </row>
    <row r="178" spans="2:22" x14ac:dyDescent="0.25">
      <c r="B178" s="7">
        <v>46.75</v>
      </c>
      <c r="C178" s="35">
        <v>0</v>
      </c>
      <c r="D178" s="36">
        <v>5.0682793300000001E-2</v>
      </c>
      <c r="E178" s="36">
        <v>-5.6955559099999997E-2</v>
      </c>
      <c r="S178" s="35"/>
      <c r="T178" s="82"/>
      <c r="U178" s="82"/>
      <c r="V178" s="82"/>
    </row>
    <row r="179" spans="2:22" x14ac:dyDescent="0.25">
      <c r="B179" s="7">
        <v>47</v>
      </c>
      <c r="C179" s="35">
        <v>0</v>
      </c>
      <c r="D179" s="36">
        <v>4.8613863399999999E-2</v>
      </c>
      <c r="E179" s="36">
        <v>-5.5361009400000001E-2</v>
      </c>
      <c r="S179" s="35"/>
      <c r="T179" s="82"/>
      <c r="U179" s="82"/>
      <c r="V179" s="82"/>
    </row>
    <row r="180" spans="2:22" x14ac:dyDescent="0.25">
      <c r="B180" s="7">
        <v>47.25</v>
      </c>
      <c r="C180" s="35">
        <v>0</v>
      </c>
      <c r="D180" s="36">
        <v>4.6538239000000002E-2</v>
      </c>
      <c r="E180" s="36">
        <v>-5.3742786200000003E-2</v>
      </c>
      <c r="S180" s="35"/>
      <c r="T180" s="82"/>
      <c r="U180" s="82"/>
      <c r="V180" s="82"/>
    </row>
    <row r="181" spans="2:22" x14ac:dyDescent="0.25">
      <c r="B181" s="7">
        <v>47.5</v>
      </c>
      <c r="C181" s="35">
        <v>0</v>
      </c>
      <c r="D181" s="36">
        <v>4.4455826800000001E-2</v>
      </c>
      <c r="E181" s="36">
        <v>-5.2101528199999997E-2</v>
      </c>
      <c r="S181" s="35"/>
      <c r="T181" s="82"/>
      <c r="U181" s="82"/>
      <c r="V181" s="82"/>
    </row>
    <row r="182" spans="2:22" x14ac:dyDescent="0.25">
      <c r="B182" s="7">
        <v>47.75</v>
      </c>
      <c r="C182" s="35">
        <v>0</v>
      </c>
      <c r="D182" s="36">
        <v>4.2366456400000002E-2</v>
      </c>
      <c r="E182" s="36">
        <v>-5.0437882400000002E-2</v>
      </c>
      <c r="S182" s="35"/>
      <c r="T182" s="82"/>
      <c r="U182" s="82"/>
      <c r="V182" s="82"/>
    </row>
    <row r="183" spans="2:22" x14ac:dyDescent="0.25">
      <c r="B183" s="7">
        <v>48</v>
      </c>
      <c r="C183" s="35">
        <v>0</v>
      </c>
      <c r="D183" s="36">
        <v>4.0270023100000003E-2</v>
      </c>
      <c r="E183" s="36">
        <v>-4.8752448800000001E-2</v>
      </c>
      <c r="S183" s="35"/>
      <c r="T183" s="82"/>
      <c r="U183" s="82"/>
      <c r="V183" s="82"/>
    </row>
    <row r="184" spans="2:22" x14ac:dyDescent="0.25">
      <c r="B184" s="7">
        <v>48.25</v>
      </c>
      <c r="C184" s="35">
        <v>0</v>
      </c>
      <c r="D184" s="36">
        <v>3.8166377600000002E-2</v>
      </c>
      <c r="E184" s="36">
        <v>-4.7045773899999997E-2</v>
      </c>
      <c r="S184" s="35"/>
      <c r="T184" s="82"/>
      <c r="U184" s="82"/>
      <c r="V184" s="82"/>
    </row>
    <row r="185" spans="2:22" x14ac:dyDescent="0.25">
      <c r="B185" s="7">
        <v>48.5</v>
      </c>
      <c r="C185" s="35">
        <v>0</v>
      </c>
      <c r="D185" s="36">
        <v>3.6054979000000001E-2</v>
      </c>
      <c r="E185" s="36">
        <v>-4.5318383599999998E-2</v>
      </c>
      <c r="S185" s="35"/>
      <c r="T185" s="82"/>
      <c r="U185" s="82"/>
      <c r="V185" s="82"/>
    </row>
    <row r="186" spans="2:22" x14ac:dyDescent="0.25">
      <c r="B186" s="7">
        <v>48.75</v>
      </c>
      <c r="C186" s="35">
        <v>0</v>
      </c>
      <c r="D186" s="36">
        <v>3.3935215800000001E-2</v>
      </c>
      <c r="E186" s="36">
        <v>-4.3570759399999999E-2</v>
      </c>
      <c r="S186" s="35"/>
      <c r="T186" s="82"/>
      <c r="U186" s="82"/>
      <c r="V186" s="82"/>
    </row>
    <row r="187" spans="2:22" x14ac:dyDescent="0.25">
      <c r="B187" s="7">
        <v>49</v>
      </c>
      <c r="C187" s="35">
        <v>0</v>
      </c>
      <c r="D187" s="36">
        <v>3.1806700200000003E-2</v>
      </c>
      <c r="E187" s="36">
        <v>-4.1803343700000002E-2</v>
      </c>
      <c r="S187" s="35"/>
      <c r="T187" s="82"/>
      <c r="U187" s="82"/>
      <c r="V187" s="82"/>
    </row>
    <row r="188" spans="2:22" x14ac:dyDescent="0.25">
      <c r="B188" s="7">
        <v>49.25</v>
      </c>
      <c r="C188" s="35">
        <v>0</v>
      </c>
      <c r="D188" s="36">
        <v>2.96690787E-2</v>
      </c>
      <c r="E188" s="36">
        <v>-4.0016584100000002E-2</v>
      </c>
      <c r="S188" s="35"/>
      <c r="T188" s="82"/>
      <c r="U188" s="82"/>
      <c r="V188" s="82"/>
    </row>
    <row r="189" spans="2:22" x14ac:dyDescent="0.25">
      <c r="B189" s="7">
        <v>49.5</v>
      </c>
      <c r="C189" s="35">
        <v>0</v>
      </c>
      <c r="D189" s="36">
        <v>2.75218526E-2</v>
      </c>
      <c r="E189" s="36">
        <v>-3.8210988100000003E-2</v>
      </c>
      <c r="S189" s="35"/>
      <c r="T189" s="82"/>
      <c r="U189" s="82"/>
      <c r="V189" s="82"/>
    </row>
    <row r="190" spans="2:22" x14ac:dyDescent="0.25">
      <c r="B190" s="7">
        <v>49.75</v>
      </c>
      <c r="C190" s="35">
        <v>0</v>
      </c>
      <c r="D190" s="36">
        <v>2.5364535800000001E-2</v>
      </c>
      <c r="E190" s="36">
        <v>-3.6387055600000003E-2</v>
      </c>
      <c r="S190" s="35"/>
      <c r="T190" s="82"/>
      <c r="U190" s="82"/>
      <c r="V190" s="82"/>
    </row>
    <row r="191" spans="2:22" x14ac:dyDescent="0.25">
      <c r="B191" s="7">
        <v>50</v>
      </c>
      <c r="C191" s="35">
        <v>0</v>
      </c>
      <c r="D191" s="36">
        <v>2.3196635899999998E-2</v>
      </c>
      <c r="E191" s="36">
        <v>-3.45452885E-2</v>
      </c>
      <c r="S191" s="35"/>
      <c r="T191" s="82"/>
      <c r="U191" s="82"/>
      <c r="V191" s="82"/>
    </row>
    <row r="192" spans="2:22" x14ac:dyDescent="0.25">
      <c r="B192" s="7">
        <v>50.25</v>
      </c>
      <c r="C192" s="35">
        <v>0</v>
      </c>
      <c r="D192" s="36">
        <v>2.1017687199999999E-2</v>
      </c>
      <c r="E192" s="36">
        <v>-3.2686161800000002E-2</v>
      </c>
      <c r="S192" s="35"/>
      <c r="T192" s="82"/>
      <c r="U192" s="82"/>
      <c r="V192" s="82"/>
    </row>
    <row r="193" spans="2:22" x14ac:dyDescent="0.25">
      <c r="B193" s="7">
        <v>50.5</v>
      </c>
      <c r="C193" s="35">
        <v>0</v>
      </c>
      <c r="D193" s="36">
        <v>1.8827415100000001E-2</v>
      </c>
      <c r="E193" s="36">
        <v>-3.08101008E-2</v>
      </c>
      <c r="S193" s="35"/>
      <c r="T193" s="82"/>
      <c r="U193" s="82"/>
      <c r="V193" s="82"/>
    </row>
    <row r="194" spans="2:22" x14ac:dyDescent="0.25">
      <c r="B194" s="7">
        <v>50.75</v>
      </c>
      <c r="C194" s="35">
        <v>0</v>
      </c>
      <c r="D194" s="36">
        <v>1.6625594300000001E-2</v>
      </c>
      <c r="E194" s="36">
        <v>-2.89174928E-2</v>
      </c>
      <c r="S194" s="35"/>
      <c r="T194" s="82"/>
      <c r="U194" s="82"/>
      <c r="V194" s="82"/>
    </row>
    <row r="195" spans="2:22" x14ac:dyDescent="0.25">
      <c r="B195" s="7">
        <v>51</v>
      </c>
      <c r="C195" s="35">
        <v>0</v>
      </c>
      <c r="D195" s="36">
        <v>1.4412046899999999E-2</v>
      </c>
      <c r="E195" s="36">
        <v>-2.7008701E-2</v>
      </c>
      <c r="S195" s="35"/>
      <c r="T195" s="82"/>
      <c r="U195" s="82"/>
      <c r="V195" s="82"/>
    </row>
    <row r="196" spans="2:22" x14ac:dyDescent="0.25">
      <c r="B196" s="7">
        <v>51.25</v>
      </c>
      <c r="C196" s="35">
        <v>0</v>
      </c>
      <c r="D196" s="36">
        <v>1.21865611E-2</v>
      </c>
      <c r="E196" s="36">
        <v>-2.5084072400000001E-2</v>
      </c>
      <c r="S196" s="35"/>
      <c r="T196" s="82"/>
      <c r="U196" s="82"/>
      <c r="V196" s="82"/>
    </row>
    <row r="197" spans="2:22" x14ac:dyDescent="0.25">
      <c r="B197" s="7">
        <v>51.5</v>
      </c>
      <c r="C197" s="35">
        <v>0</v>
      </c>
      <c r="D197" s="36">
        <v>9.9489075999999992E-3</v>
      </c>
      <c r="E197" s="36">
        <v>-2.31439994E-2</v>
      </c>
      <c r="S197" s="35"/>
      <c r="T197" s="82"/>
      <c r="U197" s="82"/>
      <c r="V197" s="82"/>
    </row>
    <row r="198" spans="2:22" x14ac:dyDescent="0.25">
      <c r="B198" s="7">
        <v>51.75</v>
      </c>
      <c r="C198" s="35">
        <v>0</v>
      </c>
      <c r="D198" s="36">
        <v>7.6988081000000002E-3</v>
      </c>
      <c r="E198" s="36">
        <v>-2.1188895100000001E-2</v>
      </c>
      <c r="S198" s="35"/>
      <c r="T198" s="82"/>
      <c r="U198" s="82"/>
      <c r="V198" s="82"/>
    </row>
    <row r="199" spans="2:22" x14ac:dyDescent="0.25">
      <c r="B199" s="7">
        <v>52</v>
      </c>
      <c r="C199" s="35">
        <v>0</v>
      </c>
      <c r="D199" s="36">
        <v>5.4360064000000003E-3</v>
      </c>
      <c r="E199" s="36">
        <v>-1.9219154700000001E-2</v>
      </c>
      <c r="S199" s="35"/>
      <c r="T199" s="82"/>
      <c r="U199" s="82"/>
      <c r="V199" s="82"/>
    </row>
    <row r="200" spans="2:22" x14ac:dyDescent="0.25">
      <c r="B200" s="7">
        <v>52.25</v>
      </c>
      <c r="C200" s="35">
        <v>0</v>
      </c>
      <c r="D200" s="36">
        <v>3.1603686E-3</v>
      </c>
      <c r="E200" s="36">
        <v>-1.7235153400000001E-2</v>
      </c>
      <c r="S200" s="35"/>
      <c r="T200" s="82"/>
      <c r="U200" s="82"/>
      <c r="V200" s="82"/>
    </row>
    <row r="201" spans="2:22" x14ac:dyDescent="0.25">
      <c r="B201" s="7">
        <v>52.5</v>
      </c>
      <c r="C201" s="35">
        <v>0</v>
      </c>
      <c r="D201" s="36">
        <v>8.7186060000000001E-4</v>
      </c>
      <c r="E201" s="36">
        <v>-1.52372932E-2</v>
      </c>
      <c r="S201" s="35"/>
      <c r="T201" s="82"/>
      <c r="U201" s="82"/>
      <c r="V201" s="82"/>
    </row>
    <row r="202" spans="2:22" x14ac:dyDescent="0.25">
      <c r="B202" s="7">
        <v>52.75</v>
      </c>
      <c r="C202" s="35">
        <v>0</v>
      </c>
      <c r="D202" s="36">
        <v>-1.4296516999999999E-3</v>
      </c>
      <c r="E202" s="36">
        <v>-1.3225995399999999E-2</v>
      </c>
      <c r="S202" s="35"/>
      <c r="T202" s="82"/>
      <c r="U202" s="82"/>
      <c r="V202" s="82"/>
    </row>
    <row r="203" spans="2:22" x14ac:dyDescent="0.25">
      <c r="B203" s="7">
        <v>53</v>
      </c>
      <c r="C203" s="35">
        <v>0</v>
      </c>
      <c r="D203" s="36">
        <v>-3.7443783000000001E-3</v>
      </c>
      <c r="E203" s="36">
        <v>-1.12016906E-2</v>
      </c>
      <c r="S203" s="35"/>
      <c r="T203" s="82"/>
      <c r="U203" s="82"/>
      <c r="V203" s="82"/>
    </row>
    <row r="204" spans="2:22" x14ac:dyDescent="0.25">
      <c r="B204" s="7">
        <v>53.25</v>
      </c>
      <c r="C204" s="35">
        <v>0</v>
      </c>
      <c r="D204" s="36">
        <v>-6.0724803000000004E-3</v>
      </c>
      <c r="E204" s="36">
        <v>-9.1647991000000009E-3</v>
      </c>
      <c r="S204" s="35"/>
      <c r="T204" s="82"/>
      <c r="U204" s="82"/>
      <c r="V204" s="82"/>
    </row>
    <row r="205" spans="2:22" x14ac:dyDescent="0.25">
      <c r="B205" s="7">
        <v>53.5</v>
      </c>
      <c r="C205" s="35">
        <v>0</v>
      </c>
      <c r="D205" s="36">
        <v>-8.4139235999999996E-3</v>
      </c>
      <c r="E205" s="36">
        <v>-7.1157681999999998E-3</v>
      </c>
      <c r="S205" s="35"/>
      <c r="T205" s="82"/>
      <c r="U205" s="82"/>
      <c r="V205" s="82"/>
    </row>
    <row r="206" spans="2:22" x14ac:dyDescent="0.25">
      <c r="B206" s="7">
        <v>53.75</v>
      </c>
      <c r="C206" s="35">
        <v>0</v>
      </c>
      <c r="D206" s="36">
        <v>-1.07685365E-2</v>
      </c>
      <c r="E206" s="36">
        <v>-5.0550250999999999E-3</v>
      </c>
      <c r="S206" s="35"/>
      <c r="T206" s="82"/>
      <c r="U206" s="82"/>
      <c r="V206" s="82"/>
    </row>
    <row r="207" spans="2:22" x14ac:dyDescent="0.25">
      <c r="B207" s="7">
        <v>54</v>
      </c>
      <c r="C207" s="35">
        <v>0</v>
      </c>
      <c r="D207" s="36">
        <v>-1.3136181300000001E-2</v>
      </c>
      <c r="E207" s="36">
        <v>-2.9829828000000002E-3</v>
      </c>
      <c r="S207" s="35"/>
      <c r="T207" s="82"/>
      <c r="U207" s="82"/>
      <c r="V207" s="82"/>
    </row>
    <row r="208" spans="2:22" x14ac:dyDescent="0.25">
      <c r="B208" s="7">
        <v>54.25</v>
      </c>
      <c r="C208" s="35">
        <v>0</v>
      </c>
      <c r="D208" s="36">
        <v>-1.55167673E-2</v>
      </c>
      <c r="E208" s="36">
        <v>-9.000662E-4</v>
      </c>
      <c r="S208" s="35"/>
      <c r="T208" s="82"/>
      <c r="U208" s="82"/>
      <c r="V208" s="82"/>
    </row>
    <row r="209" spans="2:22" x14ac:dyDescent="0.25">
      <c r="B209" s="7">
        <v>54.5</v>
      </c>
      <c r="C209" s="35">
        <v>0</v>
      </c>
      <c r="D209" s="36">
        <v>-1.7910372899999999E-2</v>
      </c>
      <c r="E209" s="36">
        <v>1.1932506000000001E-3</v>
      </c>
      <c r="S209" s="35"/>
      <c r="T209" s="82"/>
      <c r="U209" s="82"/>
      <c r="V209" s="82"/>
    </row>
    <row r="210" spans="2:22" x14ac:dyDescent="0.25">
      <c r="B210" s="7">
        <v>54.75</v>
      </c>
      <c r="C210" s="35">
        <v>0</v>
      </c>
      <c r="D210" s="36">
        <v>-2.0317037900000001E-2</v>
      </c>
      <c r="E210" s="36">
        <v>3.2965072999999998E-3</v>
      </c>
      <c r="S210" s="35"/>
      <c r="T210" s="82"/>
      <c r="U210" s="82"/>
      <c r="V210" s="82"/>
    </row>
    <row r="211" spans="2:22" x14ac:dyDescent="0.25">
      <c r="B211" s="7">
        <v>55</v>
      </c>
      <c r="C211" s="35">
        <v>0</v>
      </c>
      <c r="D211" s="36">
        <v>-2.27368051E-2</v>
      </c>
      <c r="E211" s="36">
        <v>5.4092550999999996E-3</v>
      </c>
      <c r="S211" s="35"/>
      <c r="T211" s="82"/>
      <c r="U211" s="82"/>
      <c r="V211" s="82"/>
    </row>
    <row r="212" spans="2:22" x14ac:dyDescent="0.25">
      <c r="B212" s="7">
        <v>55.25</v>
      </c>
      <c r="C212" s="35">
        <v>0</v>
      </c>
      <c r="D212" s="36">
        <v>-2.5169758600000001E-2</v>
      </c>
      <c r="E212" s="36">
        <v>7.5310851999999999E-3</v>
      </c>
      <c r="S212" s="35"/>
      <c r="T212" s="82"/>
      <c r="U212" s="82"/>
      <c r="V212" s="82"/>
    </row>
    <row r="213" spans="2:22" x14ac:dyDescent="0.25">
      <c r="B213" s="7">
        <v>55.5</v>
      </c>
      <c r="C213" s="35">
        <v>0</v>
      </c>
      <c r="D213" s="36">
        <v>-2.7616186500000001E-2</v>
      </c>
      <c r="E213" s="36">
        <v>9.6616483000000006E-3</v>
      </c>
      <c r="S213" s="35"/>
      <c r="T213" s="82"/>
      <c r="U213" s="82"/>
      <c r="V213" s="82"/>
    </row>
    <row r="214" spans="2:22" x14ac:dyDescent="0.25">
      <c r="B214" s="7">
        <v>55.75</v>
      </c>
      <c r="C214" s="35">
        <v>0</v>
      </c>
      <c r="D214" s="36">
        <v>-3.0076376299999999E-2</v>
      </c>
      <c r="E214" s="36">
        <v>1.1800628000000001E-2</v>
      </c>
      <c r="S214" s="35"/>
      <c r="T214" s="82"/>
      <c r="U214" s="82"/>
      <c r="V214" s="82"/>
    </row>
    <row r="215" spans="2:22" x14ac:dyDescent="0.25">
      <c r="B215" s="7">
        <v>56</v>
      </c>
      <c r="C215" s="35">
        <v>0</v>
      </c>
      <c r="D215" s="36">
        <v>-3.25505985E-2</v>
      </c>
      <c r="E215" s="36">
        <v>1.39477141E-2</v>
      </c>
      <c r="S215" s="35"/>
      <c r="T215" s="82"/>
      <c r="U215" s="82"/>
      <c r="V215" s="82"/>
    </row>
    <row r="216" spans="2:22" x14ac:dyDescent="0.25">
      <c r="B216" s="7">
        <v>56.25</v>
      </c>
      <c r="C216" s="35">
        <v>0</v>
      </c>
      <c r="D216" s="36">
        <v>-3.5039072599999999E-2</v>
      </c>
      <c r="E216" s="36">
        <v>1.6102607099999999E-2</v>
      </c>
      <c r="S216" s="35"/>
      <c r="T216" s="82"/>
      <c r="U216" s="82"/>
      <c r="V216" s="82"/>
    </row>
    <row r="217" spans="2:22" x14ac:dyDescent="0.25">
      <c r="B217" s="7">
        <v>56.5</v>
      </c>
      <c r="C217" s="35">
        <v>0</v>
      </c>
      <c r="D217" s="36">
        <v>-3.75418878E-2</v>
      </c>
      <c r="E217" s="36">
        <v>1.8265013699999999E-2</v>
      </c>
      <c r="S217" s="35"/>
      <c r="T217" s="82"/>
      <c r="U217" s="82"/>
      <c r="V217" s="82"/>
    </row>
    <row r="218" spans="2:22" x14ac:dyDescent="0.25">
      <c r="B218" s="7">
        <v>56.75</v>
      </c>
      <c r="C218" s="35">
        <v>0</v>
      </c>
      <c r="D218" s="36">
        <v>-4.0059060000000001E-2</v>
      </c>
      <c r="E218" s="36">
        <v>2.04346522E-2</v>
      </c>
      <c r="S218" s="35"/>
      <c r="T218" s="82"/>
      <c r="U218" s="82"/>
      <c r="V218" s="82"/>
    </row>
    <row r="219" spans="2:22" x14ac:dyDescent="0.25">
      <c r="B219" s="7">
        <v>57</v>
      </c>
      <c r="C219" s="35">
        <v>0</v>
      </c>
      <c r="D219" s="36">
        <v>-4.2590614399999997E-2</v>
      </c>
      <c r="E219" s="36">
        <v>2.26112537E-2</v>
      </c>
      <c r="S219" s="35"/>
      <c r="T219" s="82"/>
      <c r="U219" s="82"/>
      <c r="V219" s="82"/>
    </row>
    <row r="220" spans="2:22" x14ac:dyDescent="0.25">
      <c r="B220" s="7">
        <v>57.25</v>
      </c>
      <c r="C220" s="35">
        <v>0</v>
      </c>
      <c r="D220" s="36">
        <v>-4.5136581699999997E-2</v>
      </c>
      <c r="E220" s="36">
        <v>2.47945444E-2</v>
      </c>
      <c r="S220" s="35"/>
      <c r="T220" s="82"/>
      <c r="U220" s="82"/>
      <c r="V220" s="82"/>
    </row>
    <row r="221" spans="2:22" x14ac:dyDescent="0.25">
      <c r="B221" s="7">
        <v>57.5</v>
      </c>
      <c r="C221" s="35">
        <v>0</v>
      </c>
      <c r="D221" s="36">
        <v>-4.7696841099999998E-2</v>
      </c>
      <c r="E221" s="36">
        <v>2.6984198800000001E-2</v>
      </c>
      <c r="S221" s="35"/>
      <c r="T221" s="82"/>
      <c r="U221" s="82"/>
      <c r="V221" s="82"/>
    </row>
    <row r="222" spans="2:22" x14ac:dyDescent="0.25">
      <c r="B222" s="7">
        <v>57.75</v>
      </c>
      <c r="C222" s="35">
        <v>0</v>
      </c>
      <c r="D222" s="36">
        <v>-5.0271250400000002E-2</v>
      </c>
      <c r="E222" s="36">
        <v>2.9179873700000001E-2</v>
      </c>
      <c r="S222" s="35"/>
      <c r="T222" s="82"/>
      <c r="U222" s="82"/>
      <c r="V222" s="82"/>
    </row>
    <row r="223" spans="2:22" x14ac:dyDescent="0.25">
      <c r="B223" s="7">
        <v>58</v>
      </c>
      <c r="C223" s="35">
        <v>0</v>
      </c>
      <c r="D223" s="36">
        <v>-5.2859706499999999E-2</v>
      </c>
      <c r="E223" s="36">
        <v>3.13812287E-2</v>
      </c>
      <c r="S223" s="35"/>
      <c r="T223" s="82"/>
      <c r="U223" s="82"/>
      <c r="V223" s="82"/>
    </row>
    <row r="224" spans="2:22" x14ac:dyDescent="0.25">
      <c r="B224" s="7">
        <v>58.25</v>
      </c>
      <c r="C224" s="35">
        <v>0</v>
      </c>
      <c r="D224" s="36">
        <v>-5.5462137199999997E-2</v>
      </c>
      <c r="E224" s="36">
        <v>3.3587929099999997E-2</v>
      </c>
      <c r="S224" s="35"/>
      <c r="T224" s="82"/>
      <c r="U224" s="82"/>
      <c r="V224" s="82"/>
    </row>
    <row r="225" spans="2:22" x14ac:dyDescent="0.25">
      <c r="B225" s="7">
        <v>58.5</v>
      </c>
      <c r="C225" s="35">
        <v>0</v>
      </c>
      <c r="D225" s="36">
        <v>-5.8078490300000001E-2</v>
      </c>
      <c r="E225" s="36">
        <v>3.5799626799999998E-2</v>
      </c>
      <c r="S225" s="35"/>
      <c r="T225" s="82"/>
      <c r="U225" s="82"/>
      <c r="V225" s="82"/>
    </row>
    <row r="226" spans="2:22" x14ac:dyDescent="0.25">
      <c r="B226" s="7">
        <v>58.75</v>
      </c>
      <c r="C226" s="35">
        <v>0</v>
      </c>
      <c r="D226" s="36">
        <v>-6.0708760100000002E-2</v>
      </c>
      <c r="E226" s="36">
        <v>3.8015985600000003E-2</v>
      </c>
      <c r="S226" s="35"/>
      <c r="T226" s="82"/>
      <c r="U226" s="82"/>
      <c r="V226" s="82"/>
    </row>
    <row r="227" spans="2:22" x14ac:dyDescent="0.25">
      <c r="B227" s="7">
        <v>59</v>
      </c>
      <c r="C227" s="35">
        <v>0</v>
      </c>
      <c r="D227" s="36">
        <v>-6.3352959900000005E-2</v>
      </c>
      <c r="E227" s="36">
        <v>4.0236695199999999E-2</v>
      </c>
      <c r="S227" s="35"/>
      <c r="T227" s="82"/>
      <c r="U227" s="82"/>
      <c r="V227" s="82"/>
    </row>
    <row r="228" spans="2:22" x14ac:dyDescent="0.25">
      <c r="B228" s="7">
        <v>59.25</v>
      </c>
      <c r="C228" s="35">
        <v>0</v>
      </c>
      <c r="D228" s="36">
        <v>-6.6011042300000003E-2</v>
      </c>
      <c r="E228" s="36">
        <v>4.24614673E-2</v>
      </c>
      <c r="S228" s="35"/>
      <c r="T228" s="82"/>
      <c r="U228" s="82"/>
      <c r="V228" s="82"/>
    </row>
    <row r="229" spans="2:22" x14ac:dyDescent="0.25">
      <c r="B229" s="7">
        <v>59.5</v>
      </c>
      <c r="C229" s="35">
        <v>0</v>
      </c>
      <c r="D229" s="36">
        <v>-6.8682852700000005E-2</v>
      </c>
      <c r="E229" s="36">
        <v>4.4690022199999999E-2</v>
      </c>
      <c r="S229" s="35"/>
      <c r="T229" s="82"/>
      <c r="U229" s="82"/>
      <c r="V229" s="82"/>
    </row>
    <row r="230" spans="2:22" x14ac:dyDescent="0.25">
      <c r="B230" s="7">
        <v>59.75</v>
      </c>
      <c r="C230" s="35">
        <v>0</v>
      </c>
      <c r="D230" s="36">
        <v>-7.1368264000000001E-2</v>
      </c>
      <c r="E230" s="36">
        <v>4.6922084500000003E-2</v>
      </c>
      <c r="S230" s="35"/>
      <c r="T230" s="82"/>
      <c r="U230" s="82"/>
      <c r="V230" s="82"/>
    </row>
    <row r="231" spans="2:22" x14ac:dyDescent="0.25">
      <c r="B231" s="7">
        <v>60</v>
      </c>
      <c r="C231" s="35">
        <v>0</v>
      </c>
      <c r="D231" s="36">
        <v>-7.4067194599999997E-2</v>
      </c>
      <c r="E231" s="36">
        <v>4.9157381899999998E-2</v>
      </c>
      <c r="S231" s="35"/>
      <c r="T231" s="82"/>
      <c r="U231" s="82"/>
      <c r="V231" s="82"/>
    </row>
    <row r="232" spans="2:22" x14ac:dyDescent="0.25">
      <c r="B232" s="7">
        <v>60.25</v>
      </c>
      <c r="C232" s="35">
        <v>0</v>
      </c>
      <c r="D232" s="36">
        <v>-7.6779564199999997E-2</v>
      </c>
      <c r="E232" s="36">
        <v>5.1395648799999999E-2</v>
      </c>
      <c r="S232" s="35"/>
      <c r="T232" s="82"/>
      <c r="U232" s="82"/>
      <c r="V232" s="82"/>
    </row>
    <row r="233" spans="2:22" x14ac:dyDescent="0.25">
      <c r="B233" s="7">
        <v>60.5</v>
      </c>
      <c r="C233" s="35">
        <v>0</v>
      </c>
      <c r="D233" s="36">
        <v>-7.9505232499999995E-2</v>
      </c>
      <c r="E233" s="36">
        <v>5.3636597000000001E-2</v>
      </c>
      <c r="S233" s="35"/>
      <c r="T233" s="82"/>
      <c r="U233" s="82"/>
      <c r="V233" s="82"/>
    </row>
    <row r="234" spans="2:22" x14ac:dyDescent="0.25">
      <c r="B234" s="7">
        <v>60.75</v>
      </c>
      <c r="C234" s="35">
        <v>0</v>
      </c>
      <c r="D234" s="36">
        <v>-8.2244043099999997E-2</v>
      </c>
      <c r="E234" s="36">
        <v>5.58799403E-2</v>
      </c>
      <c r="S234" s="35"/>
      <c r="T234" s="82"/>
      <c r="U234" s="82"/>
      <c r="V234" s="82"/>
    </row>
    <row r="235" spans="2:22" x14ac:dyDescent="0.25">
      <c r="B235" s="7">
        <v>61</v>
      </c>
      <c r="C235" s="35">
        <v>0</v>
      </c>
      <c r="D235" s="36">
        <v>-8.4995840599999997E-2</v>
      </c>
      <c r="E235" s="36">
        <v>5.8125420599999998E-2</v>
      </c>
      <c r="S235" s="35"/>
      <c r="T235" s="82"/>
      <c r="U235" s="82"/>
      <c r="V235" s="82"/>
    </row>
    <row r="236" spans="2:22" x14ac:dyDescent="0.25">
      <c r="B236" s="7">
        <v>61.25</v>
      </c>
      <c r="C236" s="35">
        <v>0</v>
      </c>
      <c r="D236" s="36">
        <v>-8.7760496499999993E-2</v>
      </c>
      <c r="E236" s="36">
        <v>6.0372810700000001E-2</v>
      </c>
      <c r="S236" s="35"/>
      <c r="T236" s="82"/>
      <c r="U236" s="82"/>
      <c r="V236" s="82"/>
    </row>
    <row r="237" spans="2:22" x14ac:dyDescent="0.25">
      <c r="B237" s="7">
        <v>61.5</v>
      </c>
      <c r="C237" s="35">
        <v>0</v>
      </c>
      <c r="D237" s="36">
        <v>-9.0538007899999995E-2</v>
      </c>
      <c r="E237" s="36">
        <v>6.2621902300000004E-2</v>
      </c>
      <c r="S237" s="35"/>
      <c r="T237" s="82"/>
      <c r="U237" s="82"/>
      <c r="V237" s="82"/>
    </row>
    <row r="238" spans="2:22" x14ac:dyDescent="0.25">
      <c r="B238" s="7">
        <v>61.75</v>
      </c>
      <c r="C238" s="35">
        <v>0</v>
      </c>
      <c r="D238" s="36">
        <v>-9.3328416499999997E-2</v>
      </c>
      <c r="E238" s="36">
        <v>6.4872491199999993E-2</v>
      </c>
      <c r="S238" s="35"/>
      <c r="T238" s="82"/>
      <c r="U238" s="82"/>
      <c r="V238" s="82"/>
    </row>
    <row r="239" spans="2:22" x14ac:dyDescent="0.25">
      <c r="B239" s="7">
        <v>62</v>
      </c>
      <c r="C239" s="35">
        <v>0</v>
      </c>
      <c r="D239" s="36">
        <v>-9.6131773300000001E-2</v>
      </c>
      <c r="E239" s="36">
        <v>6.7124381799999994E-2</v>
      </c>
      <c r="S239" s="35"/>
      <c r="T239" s="82"/>
      <c r="U239" s="82"/>
      <c r="V239" s="82"/>
    </row>
    <row r="240" spans="2:22" x14ac:dyDescent="0.25">
      <c r="B240" s="7">
        <v>62.25</v>
      </c>
      <c r="C240" s="35">
        <v>0</v>
      </c>
      <c r="D240" s="36">
        <v>-9.8948114599999998E-2</v>
      </c>
      <c r="E240" s="36">
        <v>6.93773907E-2</v>
      </c>
      <c r="S240" s="35"/>
      <c r="T240" s="82"/>
      <c r="U240" s="82"/>
      <c r="V240" s="82"/>
    </row>
    <row r="241" spans="2:22" x14ac:dyDescent="0.25">
      <c r="B241" s="7">
        <v>62.5</v>
      </c>
      <c r="C241" s="35">
        <v>0</v>
      </c>
      <c r="D241" s="36">
        <v>-0.10177744129999999</v>
      </c>
      <c r="E241" s="36">
        <v>7.1631349400000002E-2</v>
      </c>
      <c r="S241" s="35"/>
      <c r="T241" s="82"/>
      <c r="U241" s="82"/>
      <c r="V241" s="82"/>
    </row>
    <row r="242" spans="2:22" x14ac:dyDescent="0.25">
      <c r="B242" s="7">
        <v>62.75</v>
      </c>
      <c r="C242" s="35">
        <v>0</v>
      </c>
      <c r="D242" s="36">
        <v>-0.1046197525</v>
      </c>
      <c r="E242" s="36">
        <v>7.3886104999999994E-2</v>
      </c>
      <c r="S242" s="35"/>
      <c r="T242" s="82"/>
      <c r="U242" s="82"/>
      <c r="V242" s="82"/>
    </row>
    <row r="243" spans="2:22" x14ac:dyDescent="0.25">
      <c r="B243" s="7">
        <v>63</v>
      </c>
      <c r="C243" s="35">
        <v>0</v>
      </c>
      <c r="D243" s="36">
        <v>-0.1074750464</v>
      </c>
      <c r="E243" s="36">
        <v>7.6141507900000002E-2</v>
      </c>
      <c r="S243" s="35"/>
      <c r="T243" s="82"/>
      <c r="U243" s="82"/>
      <c r="V243" s="82"/>
    </row>
    <row r="244" spans="2:22" x14ac:dyDescent="0.25">
      <c r="B244" s="7">
        <v>63.25</v>
      </c>
      <c r="C244" s="35">
        <v>0</v>
      </c>
      <c r="D244" s="36">
        <v>-0.11034334480000001</v>
      </c>
      <c r="E244" s="36">
        <v>7.83974105E-2</v>
      </c>
      <c r="S244" s="35"/>
      <c r="T244" s="82"/>
      <c r="U244" s="82"/>
      <c r="V244" s="82"/>
    </row>
    <row r="245" spans="2:22" x14ac:dyDescent="0.25">
      <c r="B245" s="7">
        <v>63.5</v>
      </c>
      <c r="C245" s="35">
        <v>0</v>
      </c>
      <c r="D245" s="36">
        <v>-0.11322471639999999</v>
      </c>
      <c r="E245" s="36">
        <v>8.0653664200000003E-2</v>
      </c>
      <c r="S245" s="35"/>
      <c r="T245" s="82"/>
      <c r="U245" s="82"/>
      <c r="V245" s="82"/>
    </row>
    <row r="246" spans="2:22" x14ac:dyDescent="0.25">
      <c r="B246" s="7">
        <v>63.75</v>
      </c>
      <c r="C246" s="35">
        <v>0</v>
      </c>
      <c r="D246" s="36">
        <v>-0.1161192251</v>
      </c>
      <c r="E246" s="36">
        <v>8.2910122399999994E-2</v>
      </c>
      <c r="S246" s="35"/>
      <c r="T246" s="82"/>
      <c r="U246" s="82"/>
      <c r="V246" s="82"/>
    </row>
    <row r="247" spans="2:22" x14ac:dyDescent="0.25">
      <c r="B247" s="7">
        <v>64</v>
      </c>
      <c r="C247" s="35">
        <v>0</v>
      </c>
      <c r="D247" s="36">
        <v>-0.11902693540000001</v>
      </c>
      <c r="E247" s="36">
        <v>8.5166646100000007E-2</v>
      </c>
      <c r="S247" s="35"/>
      <c r="T247" s="82"/>
      <c r="U247" s="82"/>
      <c r="V247" s="82"/>
    </row>
    <row r="248" spans="2:22" x14ac:dyDescent="0.25">
      <c r="B248" s="7">
        <v>64.25</v>
      </c>
      <c r="C248" s="35">
        <v>0</v>
      </c>
      <c r="D248" s="36">
        <v>-0.1219479357</v>
      </c>
      <c r="E248" s="36">
        <v>8.7423097000000005E-2</v>
      </c>
      <c r="S248" s="35"/>
      <c r="T248" s="82"/>
      <c r="U248" s="82"/>
      <c r="V248" s="82"/>
    </row>
    <row r="249" spans="2:22" x14ac:dyDescent="0.25">
      <c r="B249" s="7">
        <v>64.5</v>
      </c>
      <c r="C249" s="35">
        <v>0</v>
      </c>
      <c r="D249" s="36">
        <v>-0.1248822849</v>
      </c>
      <c r="E249" s="36">
        <v>8.96793226E-2</v>
      </c>
      <c r="S249" s="35"/>
      <c r="T249" s="82"/>
      <c r="U249" s="82"/>
      <c r="V249" s="82"/>
    </row>
    <row r="250" spans="2:22" x14ac:dyDescent="0.25">
      <c r="B250" s="7">
        <v>64.75</v>
      </c>
      <c r="C250" s="35">
        <v>0</v>
      </c>
      <c r="D250" s="36">
        <v>-0.12783004410000001</v>
      </c>
      <c r="E250" s="36">
        <v>9.1935174800000005E-2</v>
      </c>
      <c r="S250" s="35"/>
      <c r="T250" s="82"/>
      <c r="U250" s="82"/>
      <c r="V250" s="82"/>
    </row>
    <row r="251" spans="2:22" x14ac:dyDescent="0.25">
      <c r="B251" s="7">
        <v>65</v>
      </c>
      <c r="C251" s="35">
        <v>0</v>
      </c>
      <c r="D251" s="36">
        <v>-0.13079129040000001</v>
      </c>
      <c r="E251" s="36">
        <v>9.4190508300000003E-2</v>
      </c>
      <c r="S251" s="35"/>
      <c r="T251" s="82"/>
      <c r="U251" s="82"/>
      <c r="V251" s="82"/>
    </row>
    <row r="252" spans="2:22" x14ac:dyDescent="0.25">
      <c r="B252" s="7">
        <v>65.25</v>
      </c>
      <c r="C252" s="35">
        <v>0</v>
      </c>
      <c r="D252" s="36">
        <v>-0.13376608100000001</v>
      </c>
      <c r="E252" s="36">
        <v>9.6445176100000002E-2</v>
      </c>
      <c r="S252" s="35"/>
      <c r="T252" s="82"/>
      <c r="U252" s="82"/>
      <c r="V252" s="82"/>
    </row>
    <row r="253" spans="2:22" x14ac:dyDescent="0.25">
      <c r="B253" s="7">
        <v>65.5</v>
      </c>
      <c r="C253" s="35">
        <v>0</v>
      </c>
      <c r="D253" s="36">
        <v>-0.13675437209999999</v>
      </c>
      <c r="E253" s="36">
        <v>9.8699020999999998E-2</v>
      </c>
      <c r="S253" s="35"/>
      <c r="T253" s="82"/>
      <c r="U253" s="82"/>
      <c r="V253" s="82"/>
    </row>
    <row r="254" spans="2:22" x14ac:dyDescent="0.25">
      <c r="B254" s="7">
        <v>65.75</v>
      </c>
      <c r="C254" s="35">
        <v>0</v>
      </c>
      <c r="D254" s="36">
        <v>-0.1397561235</v>
      </c>
      <c r="E254" s="36">
        <v>0.1009518828</v>
      </c>
      <c r="S254" s="35"/>
      <c r="T254" s="82"/>
      <c r="U254" s="82"/>
      <c r="V254" s="82"/>
    </row>
    <row r="255" spans="2:22" x14ac:dyDescent="0.25">
      <c r="B255" s="7">
        <v>66</v>
      </c>
      <c r="C255" s="35">
        <v>0</v>
      </c>
      <c r="D255" s="36">
        <v>-0.14277131300000001</v>
      </c>
      <c r="E255" s="36">
        <v>0.1032036031</v>
      </c>
      <c r="S255" s="35"/>
      <c r="T255" s="82"/>
      <c r="U255" s="82"/>
      <c r="V255" s="82"/>
    </row>
    <row r="256" spans="2:22" x14ac:dyDescent="0.25">
      <c r="B256" s="7">
        <v>66.25</v>
      </c>
      <c r="C256" s="35">
        <v>0</v>
      </c>
      <c r="D256" s="36">
        <v>-0.14579987559999999</v>
      </c>
      <c r="E256" s="36">
        <v>0.10545402</v>
      </c>
      <c r="S256" s="35"/>
      <c r="T256" s="82"/>
      <c r="U256" s="82"/>
      <c r="V256" s="82"/>
    </row>
    <row r="257" spans="2:22" x14ac:dyDescent="0.25">
      <c r="B257" s="7">
        <v>66.5</v>
      </c>
      <c r="C257" s="35">
        <v>0</v>
      </c>
      <c r="D257" s="36">
        <v>-0.1488416511</v>
      </c>
      <c r="E257" s="36">
        <v>0.1077029416</v>
      </c>
      <c r="S257" s="35"/>
      <c r="T257" s="82"/>
      <c r="U257" s="82"/>
      <c r="V257" s="82"/>
    </row>
    <row r="258" spans="2:22" x14ac:dyDescent="0.25">
      <c r="B258" s="7">
        <v>66.75</v>
      </c>
      <c r="C258" s="35">
        <v>0</v>
      </c>
      <c r="D258" s="36">
        <v>-0.15189648159999999</v>
      </c>
      <c r="E258" s="36">
        <v>0.10995016740000001</v>
      </c>
      <c r="S258" s="35"/>
      <c r="T258" s="82"/>
      <c r="U258" s="82"/>
      <c r="V258" s="82"/>
    </row>
    <row r="259" spans="2:22" x14ac:dyDescent="0.25">
      <c r="B259" s="7">
        <v>67</v>
      </c>
      <c r="C259" s="35">
        <v>0</v>
      </c>
      <c r="D259" s="36">
        <v>-0.15496423500000001</v>
      </c>
      <c r="E259" s="36">
        <v>0.1121954971</v>
      </c>
      <c r="S259" s="35"/>
      <c r="T259" s="82"/>
      <c r="U259" s="82"/>
      <c r="V259" s="82"/>
    </row>
    <row r="260" spans="2:22" x14ac:dyDescent="0.25">
      <c r="B260" s="7">
        <v>67.25</v>
      </c>
      <c r="C260" s="35">
        <v>0</v>
      </c>
      <c r="D260" s="36">
        <v>-0.1580447365</v>
      </c>
      <c r="E260" s="36">
        <v>0.11443873359999999</v>
      </c>
      <c r="S260" s="35"/>
      <c r="T260" s="82"/>
      <c r="U260" s="82"/>
      <c r="V260" s="82"/>
    </row>
    <row r="261" spans="2:22" x14ac:dyDescent="0.25">
      <c r="B261" s="7">
        <v>67.5</v>
      </c>
      <c r="C261" s="35">
        <v>0</v>
      </c>
      <c r="D261" s="36">
        <v>-0.16113758780000001</v>
      </c>
      <c r="E261" s="36">
        <v>0.1166796865</v>
      </c>
      <c r="S261" s="35"/>
      <c r="T261" s="82"/>
      <c r="U261" s="82"/>
      <c r="V261" s="82"/>
    </row>
    <row r="262" spans="2:22" x14ac:dyDescent="0.25">
      <c r="B262" s="7">
        <v>67.75</v>
      </c>
      <c r="C262" s="35">
        <v>0</v>
      </c>
      <c r="D262" s="36">
        <v>-0.16424234309999999</v>
      </c>
      <c r="E262" s="36">
        <v>0.118918169</v>
      </c>
      <c r="S262" s="35"/>
      <c r="T262" s="82"/>
      <c r="U262" s="82"/>
      <c r="V262" s="82"/>
    </row>
    <row r="263" spans="2:22" x14ac:dyDescent="0.25">
      <c r="B263" s="7">
        <v>68</v>
      </c>
      <c r="C263" s="35">
        <v>0</v>
      </c>
      <c r="D263" s="36">
        <v>-0.16735856660000001</v>
      </c>
      <c r="E263" s="36">
        <v>0.1211539969</v>
      </c>
      <c r="S263" s="35"/>
      <c r="T263" s="82"/>
      <c r="U263" s="82"/>
      <c r="V263" s="82"/>
    </row>
    <row r="264" spans="2:22" x14ac:dyDescent="0.25">
      <c r="B264" s="7">
        <v>68.25</v>
      </c>
      <c r="C264" s="35">
        <v>0</v>
      </c>
      <c r="D264" s="36">
        <v>-0.1704858289</v>
      </c>
      <c r="E264" s="36">
        <v>0.12338698889999999</v>
      </c>
      <c r="S264" s="35"/>
      <c r="T264" s="82"/>
      <c r="U264" s="82"/>
      <c r="V264" s="82"/>
    </row>
    <row r="265" spans="2:22" x14ac:dyDescent="0.25">
      <c r="B265" s="7">
        <v>68.5</v>
      </c>
      <c r="C265" s="35">
        <v>0</v>
      </c>
      <c r="D265" s="36">
        <v>-0.17362365299999999</v>
      </c>
      <c r="E265" s="36">
        <v>0.12561698099999999</v>
      </c>
      <c r="S265" s="35"/>
      <c r="T265" s="82"/>
      <c r="U265" s="82"/>
      <c r="V265" s="82"/>
    </row>
    <row r="266" spans="2:22" x14ac:dyDescent="0.25">
      <c r="B266" s="7">
        <v>68.75</v>
      </c>
      <c r="C266" s="35">
        <v>0</v>
      </c>
      <c r="D266" s="36">
        <v>-0.17677157369999999</v>
      </c>
      <c r="E266" s="36">
        <v>0.127843821</v>
      </c>
      <c r="S266" s="35"/>
      <c r="T266" s="82"/>
      <c r="U266" s="82"/>
      <c r="V266" s="82"/>
    </row>
    <row r="267" spans="2:22" x14ac:dyDescent="0.25">
      <c r="B267" s="7">
        <v>69</v>
      </c>
      <c r="C267" s="35">
        <v>0</v>
      </c>
      <c r="D267" s="36">
        <v>-0.1799291385</v>
      </c>
      <c r="E267" s="36">
        <v>0.1300673621</v>
      </c>
      <c r="S267" s="35"/>
      <c r="T267" s="82"/>
      <c r="U267" s="82"/>
      <c r="V267" s="82"/>
    </row>
    <row r="268" spans="2:22" x14ac:dyDescent="0.25">
      <c r="B268" s="7">
        <v>69.25</v>
      </c>
      <c r="C268" s="35">
        <v>0</v>
      </c>
      <c r="D268" s="36">
        <v>-0.18309592</v>
      </c>
      <c r="E268" s="36">
        <v>0.132287457</v>
      </c>
      <c r="S268" s="35"/>
      <c r="T268" s="82"/>
      <c r="U268" s="82"/>
      <c r="V268" s="82"/>
    </row>
    <row r="269" spans="2:22" x14ac:dyDescent="0.25">
      <c r="B269" s="7">
        <v>69.5</v>
      </c>
      <c r="C269" s="35">
        <v>0</v>
      </c>
      <c r="D269" s="36">
        <v>-0.1862715378</v>
      </c>
      <c r="E269" s="36">
        <v>0.13450394230000001</v>
      </c>
      <c r="S269" s="35"/>
      <c r="T269" s="82"/>
      <c r="U269" s="82"/>
      <c r="V269" s="82"/>
    </row>
    <row r="270" spans="2:22" x14ac:dyDescent="0.25">
      <c r="B270" s="7">
        <v>69.75</v>
      </c>
      <c r="C270" s="35">
        <v>0</v>
      </c>
      <c r="D270" s="36">
        <v>-0.18945562369999999</v>
      </c>
      <c r="E270" s="36">
        <v>0.13671665390000001</v>
      </c>
      <c r="S270" s="35"/>
      <c r="T270" s="82"/>
      <c r="U270" s="82"/>
      <c r="V270" s="82"/>
    </row>
    <row r="271" spans="2:22" x14ac:dyDescent="0.25">
      <c r="B271" s="7">
        <v>70</v>
      </c>
      <c r="C271" s="35">
        <v>0</v>
      </c>
      <c r="D271" s="36">
        <v>-0.19264782790000001</v>
      </c>
      <c r="E271" s="36">
        <v>0.1389254321</v>
      </c>
      <c r="S271" s="35"/>
      <c r="T271" s="82"/>
      <c r="U271" s="82"/>
      <c r="V271" s="82"/>
    </row>
    <row r="272" spans="2:22" x14ac:dyDescent="0.25">
      <c r="B272" s="7">
        <v>70.25</v>
      </c>
      <c r="C272" s="35">
        <v>0</v>
      </c>
      <c r="D272" s="36">
        <v>-0.1958478126</v>
      </c>
      <c r="E272" s="36">
        <v>0.1411301314</v>
      </c>
      <c r="S272" s="35"/>
      <c r="T272" s="82"/>
      <c r="U272" s="82"/>
      <c r="V272" s="82"/>
    </row>
    <row r="273" spans="2:22" x14ac:dyDescent="0.25">
      <c r="B273" s="7">
        <v>70.5</v>
      </c>
      <c r="C273" s="35">
        <v>0</v>
      </c>
      <c r="D273" s="36">
        <v>-0.19905521379999999</v>
      </c>
      <c r="E273" s="36">
        <v>0.14333064279999999</v>
      </c>
      <c r="S273" s="35"/>
      <c r="T273" s="82"/>
      <c r="U273" s="82"/>
      <c r="V273" s="82"/>
    </row>
    <row r="274" spans="2:22" x14ac:dyDescent="0.25">
      <c r="B274" s="7">
        <v>70.75</v>
      </c>
      <c r="C274" s="35">
        <v>0</v>
      </c>
      <c r="D274" s="36">
        <v>-0.20226965450000001</v>
      </c>
      <c r="E274" s="36">
        <v>0.14552686510000001</v>
      </c>
      <c r="S274" s="35"/>
      <c r="T274" s="82"/>
      <c r="U274" s="82"/>
      <c r="V274" s="82"/>
    </row>
    <row r="275" spans="2:22" x14ac:dyDescent="0.25">
      <c r="B275" s="7">
        <v>71</v>
      </c>
      <c r="C275" s="35">
        <v>0</v>
      </c>
      <c r="D275" s="36">
        <v>-0.2054907403</v>
      </c>
      <c r="E275" s="36">
        <v>0.1477187029</v>
      </c>
      <c r="S275" s="35"/>
      <c r="T275" s="82"/>
      <c r="U275" s="82"/>
      <c r="V275" s="82"/>
    </row>
    <row r="276" spans="2:22" x14ac:dyDescent="0.25">
      <c r="B276" s="7">
        <v>71.25</v>
      </c>
      <c r="C276" s="35">
        <v>0</v>
      </c>
      <c r="D276" s="36">
        <v>-0.2087180615</v>
      </c>
      <c r="E276" s="36">
        <v>0.1499060649</v>
      </c>
      <c r="S276" s="35"/>
      <c r="T276" s="82"/>
      <c r="U276" s="82"/>
      <c r="V276" s="82"/>
    </row>
    <row r="277" spans="2:22" x14ac:dyDescent="0.25">
      <c r="B277" s="7">
        <v>71.5</v>
      </c>
      <c r="C277" s="35">
        <v>0</v>
      </c>
      <c r="D277" s="36">
        <v>-0.21195122599999999</v>
      </c>
      <c r="E277" s="36">
        <v>0.152088848</v>
      </c>
      <c r="S277" s="35"/>
      <c r="T277" s="82"/>
      <c r="U277" s="82"/>
      <c r="V277" s="82"/>
    </row>
    <row r="278" spans="2:22" x14ac:dyDescent="0.25">
      <c r="B278" s="7">
        <v>71.75</v>
      </c>
      <c r="C278" s="35">
        <v>0</v>
      </c>
      <c r="D278" s="36">
        <v>-0.21518986200000001</v>
      </c>
      <c r="E278" s="36">
        <v>0.15426695139999999</v>
      </c>
      <c r="S278" s="35"/>
      <c r="T278" s="82"/>
      <c r="U278" s="82"/>
      <c r="V278" s="82"/>
    </row>
    <row r="279" spans="2:22" x14ac:dyDescent="0.25">
      <c r="B279" s="7">
        <v>72</v>
      </c>
      <c r="C279" s="35">
        <v>0</v>
      </c>
      <c r="D279" s="36">
        <v>-0.21843360889999999</v>
      </c>
      <c r="E279" s="36">
        <v>0.15644027669999999</v>
      </c>
      <c r="S279" s="35"/>
      <c r="T279" s="82"/>
      <c r="U279" s="82"/>
      <c r="V279" s="82"/>
    </row>
    <row r="280" spans="2:22" x14ac:dyDescent="0.25">
      <c r="B280" s="7">
        <v>72.25</v>
      </c>
      <c r="C280" s="35">
        <v>0</v>
      </c>
      <c r="D280" s="36">
        <v>-0.2216821064</v>
      </c>
      <c r="E280" s="36">
        <v>0.15860872500000001</v>
      </c>
      <c r="S280" s="35"/>
      <c r="T280" s="82"/>
      <c r="U280" s="82"/>
      <c r="V280" s="82"/>
    </row>
    <row r="281" spans="2:22" x14ac:dyDescent="0.25">
      <c r="B281" s="7">
        <v>72.5</v>
      </c>
      <c r="C281" s="35">
        <v>0</v>
      </c>
      <c r="D281" s="36">
        <v>-0.2249349682</v>
      </c>
      <c r="E281" s="36">
        <v>0.16077219440000001</v>
      </c>
      <c r="S281" s="35"/>
      <c r="T281" s="82"/>
      <c r="U281" s="82"/>
      <c r="V281" s="82"/>
    </row>
    <row r="282" spans="2:22" x14ac:dyDescent="0.25">
      <c r="B282" s="7">
        <v>72.75</v>
      </c>
      <c r="C282" s="35">
        <v>0</v>
      </c>
      <c r="D282" s="36">
        <v>-0.22819180959999999</v>
      </c>
      <c r="E282" s="36">
        <v>0.1629305834</v>
      </c>
      <c r="S282" s="35"/>
      <c r="T282" s="82"/>
      <c r="U282" s="82"/>
      <c r="V282" s="82"/>
    </row>
    <row r="283" spans="2:22" x14ac:dyDescent="0.25">
      <c r="B283" s="7">
        <v>73</v>
      </c>
      <c r="C283" s="35">
        <v>0</v>
      </c>
      <c r="D283" s="36">
        <v>-0.23145225250000001</v>
      </c>
      <c r="E283" s="36">
        <v>0.16508379049999999</v>
      </c>
      <c r="S283" s="35"/>
      <c r="T283" s="82"/>
      <c r="U283" s="82"/>
      <c r="V283" s="82"/>
    </row>
    <row r="284" spans="2:22" x14ac:dyDescent="0.25">
      <c r="B284" s="7">
        <v>73.25</v>
      </c>
      <c r="C284" s="35">
        <v>0</v>
      </c>
      <c r="D284" s="36">
        <v>-0.2347159234</v>
      </c>
      <c r="E284" s="36">
        <v>0.1672317167</v>
      </c>
      <c r="S284" s="35"/>
      <c r="T284" s="82"/>
      <c r="U284" s="82"/>
      <c r="V284" s="82"/>
    </row>
    <row r="285" spans="2:22" x14ac:dyDescent="0.25">
      <c r="B285" s="7">
        <v>73.5</v>
      </c>
      <c r="C285" s="35">
        <v>0</v>
      </c>
      <c r="D285" s="36">
        <v>-0.23798243790000001</v>
      </c>
      <c r="E285" s="36">
        <v>0.1693742738</v>
      </c>
      <c r="S285" s="35"/>
      <c r="T285" s="82"/>
      <c r="U285" s="82"/>
      <c r="V285" s="82"/>
    </row>
    <row r="286" spans="2:22" x14ac:dyDescent="0.25">
      <c r="B286" s="7">
        <v>73.75</v>
      </c>
      <c r="C286" s="35">
        <v>0</v>
      </c>
      <c r="D286" s="36">
        <v>-0.2412514177</v>
      </c>
      <c r="E286" s="36">
        <v>0.17151138190000001</v>
      </c>
      <c r="S286" s="35"/>
      <c r="T286" s="82"/>
      <c r="U286" s="82"/>
      <c r="V286" s="82"/>
    </row>
    <row r="287" spans="2:22" x14ac:dyDescent="0.25">
      <c r="B287" s="7">
        <v>74</v>
      </c>
      <c r="C287" s="35">
        <v>0</v>
      </c>
      <c r="D287" s="36">
        <v>-0.24452248839999999</v>
      </c>
      <c r="E287" s="36">
        <v>0.17364297300000001</v>
      </c>
      <c r="S287" s="35"/>
      <c r="T287" s="82"/>
      <c r="U287" s="82"/>
      <c r="V287" s="82"/>
    </row>
    <row r="288" spans="2:22" x14ac:dyDescent="0.25">
      <c r="B288" s="7">
        <v>74.25</v>
      </c>
      <c r="C288" s="35">
        <v>0</v>
      </c>
      <c r="D288" s="36">
        <v>-0.24779526260000001</v>
      </c>
      <c r="E288" s="36">
        <v>0.17576899209999999</v>
      </c>
      <c r="S288" s="35"/>
      <c r="T288" s="82"/>
      <c r="U288" s="82"/>
      <c r="V288" s="82"/>
    </row>
    <row r="289" spans="2:22" x14ac:dyDescent="0.25">
      <c r="B289" s="7">
        <v>74.5</v>
      </c>
      <c r="C289" s="35">
        <v>0</v>
      </c>
      <c r="D289" s="36">
        <v>-0.25106933279999999</v>
      </c>
      <c r="E289" s="36">
        <v>0.17788940010000001</v>
      </c>
      <c r="S289" s="35"/>
      <c r="T289" s="82"/>
      <c r="U289" s="82"/>
      <c r="V289" s="82"/>
    </row>
    <row r="290" spans="2:22" x14ac:dyDescent="0.25">
      <c r="B290" s="7">
        <v>74.75</v>
      </c>
      <c r="C290" s="35">
        <v>0</v>
      </c>
      <c r="D290" s="36">
        <v>-0.25434428419999999</v>
      </c>
      <c r="E290" s="36">
        <v>0.1800041661</v>
      </c>
      <c r="S290" s="35"/>
      <c r="T290" s="82"/>
      <c r="U290" s="82"/>
      <c r="V290" s="82"/>
    </row>
    <row r="291" spans="2:22" x14ac:dyDescent="0.25">
      <c r="B291" s="7">
        <v>75</v>
      </c>
      <c r="C291" s="35">
        <v>0</v>
      </c>
      <c r="D291" s="36">
        <v>-0.25761969940000001</v>
      </c>
      <c r="E291" s="36">
        <v>0.18211326559999999</v>
      </c>
      <c r="S291" s="35"/>
      <c r="T291" s="82"/>
      <c r="U291" s="82"/>
      <c r="V291" s="82"/>
    </row>
    <row r="292" spans="2:22" x14ac:dyDescent="0.25">
      <c r="B292" s="7">
        <v>75.25</v>
      </c>
      <c r="C292" s="35">
        <v>0</v>
      </c>
      <c r="D292" s="36">
        <v>-0.2608951692</v>
      </c>
      <c r="E292" s="36">
        <v>0.1842166811</v>
      </c>
      <c r="S292" s="35"/>
      <c r="T292" s="82"/>
      <c r="U292" s="82"/>
      <c r="V292" s="82"/>
    </row>
    <row r="293" spans="2:22" x14ac:dyDescent="0.25">
      <c r="B293" s="7">
        <v>75.5</v>
      </c>
      <c r="C293" s="35">
        <v>0</v>
      </c>
      <c r="D293" s="36">
        <v>-0.26417027729999998</v>
      </c>
      <c r="E293" s="36">
        <v>0.1863144095</v>
      </c>
      <c r="S293" s="35"/>
      <c r="T293" s="82"/>
      <c r="U293" s="82"/>
      <c r="V293" s="82"/>
    </row>
    <row r="294" spans="2:22" x14ac:dyDescent="0.25">
      <c r="B294" s="7">
        <v>75.75</v>
      </c>
      <c r="C294" s="35">
        <v>0</v>
      </c>
      <c r="D294" s="36">
        <v>-0.26744460260000003</v>
      </c>
      <c r="E294" s="36">
        <v>0.18840644940000001</v>
      </c>
      <c r="S294" s="35"/>
      <c r="T294" s="82"/>
      <c r="U294" s="82"/>
      <c r="V294" s="82"/>
    </row>
    <row r="295" spans="2:22" x14ac:dyDescent="0.25">
      <c r="B295" s="7">
        <v>76</v>
      </c>
      <c r="C295" s="35">
        <v>0</v>
      </c>
      <c r="D295" s="36">
        <v>-0.2707177335</v>
      </c>
      <c r="E295" s="36">
        <v>0.1904927984</v>
      </c>
      <c r="S295" s="35"/>
      <c r="T295" s="82"/>
      <c r="U295" s="82"/>
      <c r="V295" s="82"/>
    </row>
    <row r="296" spans="2:22" x14ac:dyDescent="0.25">
      <c r="B296" s="7">
        <v>76.25</v>
      </c>
      <c r="C296" s="35">
        <v>0</v>
      </c>
      <c r="D296" s="36">
        <v>-0.27398926969999998</v>
      </c>
      <c r="E296" s="36">
        <v>0.19257345519999999</v>
      </c>
      <c r="S296" s="35"/>
      <c r="T296" s="82"/>
      <c r="U296" s="82"/>
      <c r="V296" s="82"/>
    </row>
    <row r="297" spans="2:22" x14ac:dyDescent="0.25">
      <c r="B297" s="7">
        <v>76.5</v>
      </c>
      <c r="C297" s="35">
        <v>0</v>
      </c>
      <c r="D297" s="36">
        <v>-0.27725881099999999</v>
      </c>
      <c r="E297" s="36">
        <v>0.19464842469999999</v>
      </c>
      <c r="S297" s="35"/>
      <c r="T297" s="82"/>
      <c r="U297" s="82"/>
      <c r="V297" s="82"/>
    </row>
    <row r="298" spans="2:22" x14ac:dyDescent="0.25">
      <c r="B298" s="7">
        <v>76.75</v>
      </c>
      <c r="C298" s="35">
        <v>0</v>
      </c>
      <c r="D298" s="36">
        <v>-0.28052596829999998</v>
      </c>
      <c r="E298" s="36">
        <v>0.19671771399999999</v>
      </c>
      <c r="S298" s="35"/>
      <c r="T298" s="82"/>
      <c r="U298" s="82"/>
      <c r="V298" s="82"/>
    </row>
    <row r="299" spans="2:22" x14ac:dyDescent="0.25">
      <c r="B299" s="7">
        <v>77</v>
      </c>
      <c r="C299" s="35">
        <v>0</v>
      </c>
      <c r="D299" s="36">
        <v>-0.28379035959999999</v>
      </c>
      <c r="E299" s="36">
        <v>0.19878133170000001</v>
      </c>
      <c r="S299" s="35"/>
      <c r="T299" s="82"/>
      <c r="U299" s="82"/>
      <c r="V299" s="82"/>
    </row>
    <row r="300" spans="2:22" x14ac:dyDescent="0.25">
      <c r="B300" s="7">
        <v>77.25</v>
      </c>
      <c r="C300" s="35">
        <v>0</v>
      </c>
      <c r="D300" s="36">
        <v>-0.2870516213</v>
      </c>
      <c r="E300" s="36">
        <v>0.20083928370000001</v>
      </c>
      <c r="S300" s="35"/>
      <c r="T300" s="82"/>
      <c r="U300" s="82"/>
      <c r="V300" s="82"/>
    </row>
    <row r="301" spans="2:22" x14ac:dyDescent="0.25">
      <c r="B301" s="7">
        <v>77.5</v>
      </c>
      <c r="C301" s="35">
        <v>0</v>
      </c>
      <c r="D301" s="36">
        <v>-0.2903094323</v>
      </c>
      <c r="E301" s="36">
        <v>0.2028915647</v>
      </c>
      <c r="S301" s="35"/>
      <c r="T301" s="82"/>
      <c r="U301" s="82"/>
      <c r="V301" s="82"/>
    </row>
    <row r="302" spans="2:22" x14ac:dyDescent="0.25">
      <c r="B302" s="7">
        <v>77.75</v>
      </c>
      <c r="C302" s="35">
        <v>0</v>
      </c>
      <c r="D302" s="36">
        <v>-0.29356348900000001</v>
      </c>
      <c r="E302" s="36">
        <v>0.20493816740000001</v>
      </c>
      <c r="S302" s="35"/>
      <c r="T302" s="82"/>
      <c r="U302" s="82"/>
      <c r="V302" s="82"/>
    </row>
    <row r="303" spans="2:22" x14ac:dyDescent="0.25">
      <c r="B303" s="7">
        <v>78</v>
      </c>
      <c r="C303" s="35">
        <v>0</v>
      </c>
      <c r="D303" s="36">
        <v>-0.29681350020000002</v>
      </c>
      <c r="E303" s="36">
        <v>0.2069790846</v>
      </c>
      <c r="S303" s="35"/>
      <c r="T303" s="82"/>
      <c r="U303" s="82"/>
      <c r="V303" s="82"/>
    </row>
    <row r="304" spans="2:22" x14ac:dyDescent="0.25">
      <c r="B304" s="7">
        <v>78.25</v>
      </c>
      <c r="C304" s="35">
        <v>0</v>
      </c>
      <c r="D304" s="36">
        <v>-0.30005917570000001</v>
      </c>
      <c r="E304" s="36">
        <v>0.2090143095</v>
      </c>
      <c r="S304" s="35"/>
      <c r="T304" s="82"/>
      <c r="U304" s="82"/>
      <c r="V304" s="82"/>
    </row>
    <row r="305" spans="2:22" x14ac:dyDescent="0.25">
      <c r="B305" s="7">
        <v>78.5</v>
      </c>
      <c r="C305" s="35">
        <v>0</v>
      </c>
      <c r="D305" s="36">
        <v>-0.30330020689999998</v>
      </c>
      <c r="E305" s="36">
        <v>0.2110438405</v>
      </c>
      <c r="S305" s="35"/>
      <c r="T305" s="82"/>
      <c r="U305" s="82"/>
      <c r="V305" s="82"/>
    </row>
    <row r="306" spans="2:22" x14ac:dyDescent="0.25">
      <c r="B306" s="7">
        <v>78.75</v>
      </c>
      <c r="C306" s="35">
        <v>0</v>
      </c>
      <c r="D306" s="36">
        <v>-0.30653628979999997</v>
      </c>
      <c r="E306" s="36">
        <v>0.2130676786</v>
      </c>
      <c r="S306" s="35"/>
      <c r="T306" s="82"/>
      <c r="U306" s="82"/>
      <c r="V306" s="82"/>
    </row>
    <row r="307" spans="2:22" x14ac:dyDescent="0.25">
      <c r="B307" s="7">
        <v>79</v>
      </c>
      <c r="C307" s="35">
        <v>0</v>
      </c>
      <c r="D307" s="36">
        <v>-0.30976713249999999</v>
      </c>
      <c r="E307" s="36">
        <v>0.2150858256</v>
      </c>
      <c r="S307" s="35"/>
      <c r="T307" s="82"/>
      <c r="U307" s="82"/>
      <c r="V307" s="82"/>
    </row>
    <row r="308" spans="2:22" x14ac:dyDescent="0.25">
      <c r="B308" s="7">
        <v>79.25</v>
      </c>
      <c r="C308" s="35">
        <v>0</v>
      </c>
      <c r="D308" s="36">
        <v>-0.31299245069999998</v>
      </c>
      <c r="E308" s="36">
        <v>0.217098285</v>
      </c>
      <c r="S308" s="35"/>
      <c r="T308" s="82"/>
      <c r="U308" s="82"/>
      <c r="V308" s="82"/>
    </row>
    <row r="309" spans="2:22" x14ac:dyDescent="0.25">
      <c r="B309" s="7">
        <v>79.5</v>
      </c>
      <c r="C309" s="35">
        <v>0</v>
      </c>
      <c r="D309" s="36">
        <v>-0.31621195889999998</v>
      </c>
      <c r="E309" s="36">
        <v>0.21910506630000001</v>
      </c>
      <c r="S309" s="35"/>
      <c r="T309" s="82"/>
      <c r="U309" s="82"/>
      <c r="V309" s="82"/>
    </row>
    <row r="310" spans="2:22" x14ac:dyDescent="0.25">
      <c r="B310" s="7">
        <v>79.75</v>
      </c>
      <c r="C310" s="35">
        <v>0</v>
      </c>
      <c r="D310" s="36">
        <v>-0.31942537939999999</v>
      </c>
      <c r="E310" s="36">
        <v>0.2211061812</v>
      </c>
      <c r="S310" s="35"/>
      <c r="T310" s="82"/>
      <c r="U310" s="82"/>
      <c r="V310" s="82"/>
    </row>
    <row r="311" spans="2:22" x14ac:dyDescent="0.25">
      <c r="B311" s="7">
        <v>80</v>
      </c>
      <c r="C311" s="35">
        <v>0</v>
      </c>
      <c r="D311" s="36">
        <v>-0.32263244679999997</v>
      </c>
      <c r="E311" s="36">
        <v>0.22310164230000001</v>
      </c>
      <c r="S311" s="35"/>
      <c r="T311" s="82"/>
      <c r="U311" s="82"/>
      <c r="V311" s="82"/>
    </row>
    <row r="312" spans="2:22" x14ac:dyDescent="0.25">
      <c r="B312" s="7">
        <v>80.25</v>
      </c>
      <c r="C312" s="35">
        <v>0</v>
      </c>
      <c r="D312" s="36">
        <v>-0.32583292489999999</v>
      </c>
      <c r="E312" s="36">
        <v>0.22509146259999999</v>
      </c>
      <c r="S312" s="35"/>
      <c r="T312" s="82"/>
      <c r="U312" s="82"/>
      <c r="V312" s="82"/>
    </row>
    <row r="313" spans="2:22" x14ac:dyDescent="0.25">
      <c r="B313" s="7">
        <v>80.5</v>
      </c>
      <c r="C313" s="35">
        <v>0</v>
      </c>
      <c r="D313" s="36">
        <v>-0.32902665869999997</v>
      </c>
      <c r="E313" s="36">
        <v>0.22707565760000001</v>
      </c>
      <c r="S313" s="35"/>
      <c r="T313" s="82"/>
      <c r="U313" s="82"/>
      <c r="V313" s="82"/>
    </row>
    <row r="314" spans="2:22" x14ac:dyDescent="0.25">
      <c r="B314" s="7">
        <v>80.75</v>
      </c>
      <c r="C314" s="35">
        <v>0</v>
      </c>
      <c r="D314" s="36">
        <v>-0.33221351830000001</v>
      </c>
      <c r="E314" s="36">
        <v>0.2290542428</v>
      </c>
      <c r="S314" s="35"/>
      <c r="T314" s="82"/>
      <c r="U314" s="82"/>
      <c r="V314" s="82"/>
    </row>
    <row r="315" spans="2:22" x14ac:dyDescent="0.25">
      <c r="B315" s="7">
        <v>81</v>
      </c>
      <c r="C315" s="35">
        <v>0</v>
      </c>
      <c r="D315" s="36">
        <v>-0.33539338169999999</v>
      </c>
      <c r="E315" s="36">
        <v>0.23102723319999999</v>
      </c>
      <c r="S315" s="35"/>
      <c r="T315" s="82"/>
      <c r="U315" s="82"/>
      <c r="V315" s="82"/>
    </row>
    <row r="316" spans="2:22" x14ac:dyDescent="0.25">
      <c r="B316" s="7">
        <v>81.25</v>
      </c>
      <c r="C316" s="35">
        <v>0</v>
      </c>
      <c r="D316" s="36">
        <v>-0.33856613270000002</v>
      </c>
      <c r="E316" s="36">
        <v>0.23299464419999999</v>
      </c>
      <c r="S316" s="35"/>
      <c r="T316" s="82"/>
      <c r="U316" s="82"/>
      <c r="V316" s="82"/>
    </row>
    <row r="317" spans="2:22" x14ac:dyDescent="0.25">
      <c r="B317" s="7">
        <v>81.5</v>
      </c>
      <c r="C317" s="35">
        <v>0</v>
      </c>
      <c r="D317" s="36">
        <v>-0.34173165509999998</v>
      </c>
      <c r="E317" s="36">
        <v>0.23495649090000001</v>
      </c>
      <c r="S317" s="35"/>
      <c r="T317" s="82"/>
      <c r="U317" s="82"/>
      <c r="V317" s="82"/>
    </row>
    <row r="318" spans="2:22" x14ac:dyDescent="0.25">
      <c r="B318" s="7">
        <v>81.75</v>
      </c>
      <c r="C318" s="35">
        <v>0</v>
      </c>
      <c r="D318" s="36">
        <v>-0.34488982550000002</v>
      </c>
      <c r="E318" s="36">
        <v>0.23691279079999999</v>
      </c>
      <c r="S318" s="35"/>
      <c r="T318" s="82"/>
      <c r="U318" s="82"/>
      <c r="V318" s="82"/>
    </row>
    <row r="319" spans="2:22" x14ac:dyDescent="0.25">
      <c r="B319" s="7">
        <v>82</v>
      </c>
      <c r="C319" s="35">
        <v>0</v>
      </c>
      <c r="D319" s="36">
        <v>-0.34804052060000001</v>
      </c>
      <c r="E319" s="36">
        <v>0.23886356189999999</v>
      </c>
      <c r="S319" s="35"/>
      <c r="T319" s="82"/>
      <c r="U319" s="82"/>
      <c r="V319" s="82"/>
    </row>
    <row r="320" spans="2:22" x14ac:dyDescent="0.25">
      <c r="B320" s="7">
        <v>82.25</v>
      </c>
      <c r="C320" s="35">
        <v>0</v>
      </c>
      <c r="D320" s="36">
        <v>-0.35118362580000001</v>
      </c>
      <c r="E320" s="36">
        <v>0.24080882240000001</v>
      </c>
      <c r="S320" s="35"/>
      <c r="T320" s="82"/>
      <c r="U320" s="82"/>
      <c r="V320" s="82"/>
    </row>
    <row r="321" spans="2:22" x14ac:dyDescent="0.25">
      <c r="B321" s="7">
        <v>82.5</v>
      </c>
      <c r="C321" s="35">
        <v>0</v>
      </c>
      <c r="D321" s="36">
        <v>-0.3543190551</v>
      </c>
      <c r="E321" s="36">
        <v>0.2427485919</v>
      </c>
      <c r="S321" s="35"/>
      <c r="T321" s="82"/>
      <c r="U321" s="82"/>
      <c r="V321" s="82"/>
    </row>
    <row r="322" spans="2:22" x14ac:dyDescent="0.25">
      <c r="B322" s="7">
        <v>82.75</v>
      </c>
      <c r="C322" s="35">
        <v>0</v>
      </c>
      <c r="D322" s="36">
        <v>-0.35744673370000002</v>
      </c>
      <c r="E322" s="36">
        <v>0.24468288999999999</v>
      </c>
      <c r="S322" s="35"/>
      <c r="T322" s="82"/>
      <c r="U322" s="82"/>
      <c r="V322" s="82"/>
    </row>
    <row r="323" spans="2:22" x14ac:dyDescent="0.25">
      <c r="B323" s="7">
        <v>83</v>
      </c>
      <c r="C323" s="35">
        <v>0</v>
      </c>
      <c r="D323" s="36">
        <v>-0.3605665884</v>
      </c>
      <c r="E323" s="36">
        <v>0.24661173589999999</v>
      </c>
      <c r="S323" s="35"/>
      <c r="T323" s="82"/>
      <c r="U323" s="82"/>
      <c r="V323" s="82"/>
    </row>
    <row r="324" spans="2:22" x14ac:dyDescent="0.25">
      <c r="B324" s="7">
        <v>83.25</v>
      </c>
      <c r="C324" s="35">
        <v>0</v>
      </c>
      <c r="D324" s="36">
        <v>-0.36367855399999999</v>
      </c>
      <c r="E324" s="36">
        <v>0.2485351482</v>
      </c>
      <c r="S324" s="35"/>
      <c r="T324" s="82"/>
      <c r="U324" s="82"/>
      <c r="V324" s="82"/>
    </row>
    <row r="325" spans="2:22" x14ac:dyDescent="0.25">
      <c r="B325" s="7">
        <v>83.5</v>
      </c>
      <c r="C325" s="35">
        <v>0</v>
      </c>
      <c r="D325" s="36">
        <v>-0.36678259169999999</v>
      </c>
      <c r="E325" s="36">
        <v>0.25045314480000003</v>
      </c>
      <c r="S325" s="35"/>
      <c r="T325" s="82"/>
      <c r="U325" s="82"/>
      <c r="V325" s="82"/>
    </row>
    <row r="326" spans="2:22" x14ac:dyDescent="0.25">
      <c r="B326" s="7">
        <v>83.75</v>
      </c>
      <c r="C326" s="35">
        <v>0</v>
      </c>
      <c r="D326" s="36">
        <v>-0.3698786697</v>
      </c>
      <c r="E326" s="36">
        <v>0.25236574340000001</v>
      </c>
      <c r="S326" s="35"/>
      <c r="T326" s="82"/>
      <c r="U326" s="82"/>
      <c r="V326" s="82"/>
    </row>
    <row r="327" spans="2:22" x14ac:dyDescent="0.25">
      <c r="B327" s="7">
        <v>84</v>
      </c>
      <c r="C327" s="35">
        <v>0</v>
      </c>
      <c r="D327" s="36">
        <v>-0.3729667532</v>
      </c>
      <c r="E327" s="36">
        <v>0.2542729621</v>
      </c>
      <c r="S327" s="35"/>
      <c r="T327" s="82"/>
      <c r="U327" s="82"/>
      <c r="V327" s="82"/>
    </row>
    <row r="328" spans="2:22" x14ac:dyDescent="0.25">
      <c r="B328" s="7">
        <v>84.25</v>
      </c>
      <c r="C328" s="35">
        <v>0</v>
      </c>
      <c r="D328" s="36">
        <v>-0.37604680880000002</v>
      </c>
      <c r="E328" s="36">
        <v>0.25617481910000001</v>
      </c>
      <c r="S328" s="35"/>
      <c r="T328" s="82"/>
      <c r="U328" s="82"/>
      <c r="V328" s="82"/>
    </row>
    <row r="329" spans="2:22" x14ac:dyDescent="0.25">
      <c r="B329" s="7">
        <v>84.5</v>
      </c>
      <c r="C329" s="35">
        <v>0</v>
      </c>
      <c r="D329" s="36">
        <v>-0.37911880320000002</v>
      </c>
      <c r="E329" s="36">
        <v>0.25807133249999997</v>
      </c>
      <c r="S329" s="35"/>
      <c r="T329" s="82"/>
      <c r="U329" s="82"/>
      <c r="V329" s="82"/>
    </row>
    <row r="330" spans="2:22" x14ac:dyDescent="0.25">
      <c r="B330" s="7">
        <v>84.75</v>
      </c>
      <c r="C330" s="35">
        <v>0</v>
      </c>
      <c r="D330" s="36">
        <v>-0.38218270199999999</v>
      </c>
      <c r="E330" s="36">
        <v>0.25996251929999997</v>
      </c>
      <c r="S330" s="35"/>
      <c r="T330" s="82"/>
      <c r="U330" s="82"/>
      <c r="V330" s="82"/>
    </row>
    <row r="331" spans="2:22" x14ac:dyDescent="0.25">
      <c r="B331" s="7">
        <v>85</v>
      </c>
      <c r="C331" s="35">
        <v>0</v>
      </c>
      <c r="D331" s="36">
        <v>-0.38523847090000002</v>
      </c>
      <c r="E331" s="36">
        <v>0.26184839650000002</v>
      </c>
      <c r="S331" s="35"/>
      <c r="T331" s="82"/>
      <c r="U331" s="82"/>
      <c r="V331" s="82"/>
    </row>
    <row r="332" spans="2:22" x14ac:dyDescent="0.25">
      <c r="B332" s="7">
        <v>85.25</v>
      </c>
      <c r="C332" s="35">
        <v>0</v>
      </c>
      <c r="D332" s="36">
        <v>-0.3882860816</v>
      </c>
      <c r="E332" s="36">
        <v>0.2637289807</v>
      </c>
      <c r="S332" s="35"/>
      <c r="T332" s="82"/>
      <c r="U332" s="82"/>
      <c r="V332" s="82"/>
    </row>
    <row r="333" spans="2:22" x14ac:dyDescent="0.25">
      <c r="B333" s="7">
        <v>85.5</v>
      </c>
      <c r="C333" s="35">
        <v>0</v>
      </c>
      <c r="D333" s="36">
        <v>-0.39132552079999999</v>
      </c>
      <c r="E333" s="36">
        <v>0.2656042897</v>
      </c>
      <c r="S333" s="35"/>
      <c r="T333" s="82"/>
      <c r="U333" s="82"/>
      <c r="V333" s="82"/>
    </row>
    <row r="334" spans="2:22" x14ac:dyDescent="0.25">
      <c r="B334" s="7">
        <v>85.75</v>
      </c>
      <c r="C334" s="35">
        <v>0</v>
      </c>
      <c r="D334" s="36">
        <v>-0.3943567798</v>
      </c>
      <c r="E334" s="36">
        <v>0.26747434149999999</v>
      </c>
      <c r="S334" s="35"/>
      <c r="T334" s="82"/>
      <c r="U334" s="82"/>
      <c r="V334" s="82"/>
    </row>
    <row r="335" spans="2:22" x14ac:dyDescent="0.25">
      <c r="B335" s="7">
        <v>86</v>
      </c>
      <c r="C335" s="35">
        <v>0</v>
      </c>
      <c r="D335" s="36">
        <v>-0.39737985180000002</v>
      </c>
      <c r="E335" s="36">
        <v>0.26933915450000001</v>
      </c>
      <c r="S335" s="35"/>
      <c r="T335" s="82"/>
      <c r="U335" s="82"/>
      <c r="V335" s="82"/>
    </row>
    <row r="336" spans="2:22" x14ac:dyDescent="0.25">
      <c r="B336" s="7">
        <v>86.25</v>
      </c>
      <c r="C336" s="35">
        <v>0</v>
      </c>
      <c r="D336" s="36">
        <v>-0.40039473619999999</v>
      </c>
      <c r="E336" s="36">
        <v>0.27119874779999997</v>
      </c>
      <c r="S336" s="35"/>
      <c r="T336" s="82"/>
      <c r="U336" s="82"/>
      <c r="V336" s="82"/>
    </row>
    <row r="337" spans="2:22" x14ac:dyDescent="0.25">
      <c r="B337" s="7">
        <v>86.5</v>
      </c>
      <c r="C337" s="35">
        <v>0</v>
      </c>
      <c r="D337" s="36">
        <v>-0.40340144490000002</v>
      </c>
      <c r="E337" s="36">
        <v>0.27305314159999999</v>
      </c>
      <c r="S337" s="35"/>
      <c r="T337" s="82"/>
      <c r="U337" s="82"/>
      <c r="V337" s="82"/>
    </row>
    <row r="338" spans="2:22" x14ac:dyDescent="0.25">
      <c r="B338" s="7">
        <v>86.75</v>
      </c>
      <c r="C338" s="35">
        <v>0</v>
      </c>
      <c r="D338" s="36">
        <v>-0.40639999310000002</v>
      </c>
      <c r="E338" s="36">
        <v>0.27490235699999999</v>
      </c>
      <c r="S338" s="35"/>
      <c r="T338" s="82"/>
      <c r="U338" s="82"/>
      <c r="V338" s="82"/>
    </row>
    <row r="339" spans="2:22" x14ac:dyDescent="0.25">
      <c r="B339" s="7">
        <v>87</v>
      </c>
      <c r="C339" s="35">
        <v>0</v>
      </c>
      <c r="D339" s="36">
        <v>-0.40939039700000002</v>
      </c>
      <c r="E339" s="36">
        <v>0.27674641430000002</v>
      </c>
      <c r="S339" s="35"/>
      <c r="T339" s="82"/>
      <c r="U339" s="82"/>
      <c r="V339" s="82"/>
    </row>
    <row r="340" spans="2:22" x14ac:dyDescent="0.25">
      <c r="B340" s="7">
        <v>87.25</v>
      </c>
      <c r="C340" s="35">
        <v>0</v>
      </c>
      <c r="D340" s="36">
        <v>-0.41237267379999998</v>
      </c>
      <c r="E340" s="36">
        <v>0.27858533419999998</v>
      </c>
      <c r="S340" s="35"/>
      <c r="T340" s="82"/>
      <c r="U340" s="82"/>
      <c r="V340" s="82"/>
    </row>
    <row r="341" spans="2:22" x14ac:dyDescent="0.25">
      <c r="B341" s="7">
        <v>87.5</v>
      </c>
      <c r="C341" s="35">
        <v>0</v>
      </c>
      <c r="D341" s="36">
        <v>-0.41534684030000002</v>
      </c>
      <c r="E341" s="36">
        <v>0.28041913670000002</v>
      </c>
      <c r="S341" s="35"/>
      <c r="T341" s="82"/>
      <c r="U341" s="82"/>
      <c r="V341" s="82"/>
    </row>
    <row r="342" spans="2:22" x14ac:dyDescent="0.25">
      <c r="B342" s="7">
        <v>87.75</v>
      </c>
      <c r="C342" s="35">
        <v>0</v>
      </c>
      <c r="D342" s="36">
        <v>-0.41831291329999998</v>
      </c>
      <c r="E342" s="36">
        <v>0.28224784209999998</v>
      </c>
      <c r="S342" s="35"/>
      <c r="T342" s="82"/>
      <c r="U342" s="82"/>
      <c r="V342" s="82"/>
    </row>
    <row r="343" spans="2:22" x14ac:dyDescent="0.25">
      <c r="B343" s="7">
        <v>88</v>
      </c>
      <c r="C343" s="35">
        <v>0</v>
      </c>
      <c r="D343" s="36">
        <v>-0.4212709093</v>
      </c>
      <c r="E343" s="36">
        <v>0.28407146999999999</v>
      </c>
      <c r="S343" s="35"/>
      <c r="T343" s="82"/>
      <c r="U343" s="82"/>
      <c r="V343" s="82"/>
    </row>
    <row r="344" spans="2:22" x14ac:dyDescent="0.25">
      <c r="B344" s="7">
        <v>88.25</v>
      </c>
      <c r="C344" s="35">
        <v>0</v>
      </c>
      <c r="D344" s="36">
        <v>-0.42422084809999999</v>
      </c>
      <c r="E344" s="36">
        <v>0.28589003969999999</v>
      </c>
      <c r="S344" s="35"/>
      <c r="T344" s="82"/>
      <c r="U344" s="82"/>
      <c r="V344" s="82"/>
    </row>
    <row r="345" spans="2:22" x14ac:dyDescent="0.25">
      <c r="B345" s="7">
        <v>88.5</v>
      </c>
      <c r="C345" s="35">
        <v>0</v>
      </c>
      <c r="D345" s="36">
        <v>-0.4271627603</v>
      </c>
      <c r="E345" s="36">
        <v>0.28770356889999998</v>
      </c>
      <c r="S345" s="35"/>
      <c r="T345" s="82"/>
      <c r="U345" s="82"/>
      <c r="V345" s="82"/>
    </row>
    <row r="346" spans="2:22" x14ac:dyDescent="0.25">
      <c r="B346" s="7">
        <v>88.75</v>
      </c>
      <c r="C346" s="35">
        <v>0</v>
      </c>
      <c r="D346" s="36">
        <v>-0.43009667940000001</v>
      </c>
      <c r="E346" s="36">
        <v>0.28951207480000002</v>
      </c>
      <c r="S346" s="35"/>
      <c r="T346" s="82"/>
      <c r="U346" s="82"/>
      <c r="V346" s="82"/>
    </row>
    <row r="347" spans="2:22" x14ac:dyDescent="0.25">
      <c r="B347" s="7">
        <v>89</v>
      </c>
      <c r="C347" s="35">
        <v>0</v>
      </c>
      <c r="D347" s="36">
        <v>-0.43302263740000002</v>
      </c>
      <c r="E347" s="36">
        <v>0.29131557460000002</v>
      </c>
      <c r="S347" s="35"/>
      <c r="T347" s="82"/>
      <c r="U347" s="82"/>
      <c r="V347" s="82"/>
    </row>
    <row r="348" spans="2:22" x14ac:dyDescent="0.25">
      <c r="B348" s="7">
        <v>89.25</v>
      </c>
      <c r="C348" s="35">
        <v>0</v>
      </c>
      <c r="D348" s="36">
        <v>-0.43594065999999998</v>
      </c>
      <c r="E348" s="36">
        <v>0.29311408700000002</v>
      </c>
      <c r="S348" s="35"/>
      <c r="T348" s="82"/>
      <c r="U348" s="82"/>
      <c r="V348" s="82"/>
    </row>
    <row r="349" spans="2:22" x14ac:dyDescent="0.25">
      <c r="B349" s="7">
        <v>89.5</v>
      </c>
      <c r="C349" s="35">
        <v>0</v>
      </c>
      <c r="D349" s="36">
        <v>-0.43885077259999999</v>
      </c>
      <c r="E349" s="36">
        <v>0.29490763069999998</v>
      </c>
      <c r="S349" s="35"/>
      <c r="T349" s="82"/>
      <c r="U349" s="82"/>
      <c r="V349" s="82"/>
    </row>
    <row r="350" spans="2:22" x14ac:dyDescent="0.25">
      <c r="B350" s="7">
        <v>89.75</v>
      </c>
      <c r="C350" s="35">
        <v>0</v>
      </c>
      <c r="D350" s="36">
        <v>-0.44175299689999997</v>
      </c>
      <c r="E350" s="36">
        <v>0.29669622550000002</v>
      </c>
      <c r="S350" s="35"/>
      <c r="T350" s="82"/>
      <c r="U350" s="82"/>
      <c r="V350" s="82"/>
    </row>
    <row r="351" spans="2:22" x14ac:dyDescent="0.25">
      <c r="B351" s="7">
        <v>90</v>
      </c>
      <c r="C351" s="35">
        <v>0</v>
      </c>
      <c r="D351" s="36">
        <v>-0.44464735300000002</v>
      </c>
      <c r="E351" s="36">
        <v>0.29847989149999998</v>
      </c>
      <c r="S351" s="35"/>
      <c r="T351" s="82"/>
      <c r="U351" s="82"/>
      <c r="V351" s="82"/>
    </row>
    <row r="352" spans="2:22" x14ac:dyDescent="0.25">
      <c r="B352" s="7">
        <v>90.25</v>
      </c>
      <c r="C352" s="35">
        <v>0</v>
      </c>
      <c r="D352" s="36">
        <v>-0.44753386160000003</v>
      </c>
      <c r="E352" s="36">
        <v>0.30025864889999998</v>
      </c>
      <c r="S352" s="35"/>
      <c r="T352" s="82"/>
      <c r="U352" s="82"/>
      <c r="V352" s="82"/>
    </row>
    <row r="353" spans="2:22" x14ac:dyDescent="0.25">
      <c r="B353" s="7">
        <v>90.5</v>
      </c>
      <c r="C353" s="35">
        <v>0</v>
      </c>
      <c r="D353" s="36">
        <v>-0.450412549</v>
      </c>
      <c r="E353" s="36">
        <v>0.30203252120000001</v>
      </c>
      <c r="S353" s="35"/>
      <c r="T353" s="82"/>
      <c r="U353" s="82"/>
      <c r="V353" s="82"/>
    </row>
    <row r="354" spans="2:22" x14ac:dyDescent="0.25">
      <c r="B354" s="7">
        <v>90.75</v>
      </c>
      <c r="C354" s="35">
        <v>0</v>
      </c>
      <c r="D354" s="36">
        <v>-0.45328344300000001</v>
      </c>
      <c r="E354" s="36">
        <v>0.30380153209999999</v>
      </c>
      <c r="S354" s="35"/>
      <c r="T354" s="82"/>
      <c r="U354" s="82"/>
      <c r="V354" s="82"/>
    </row>
    <row r="355" spans="2:22" x14ac:dyDescent="0.25">
      <c r="B355" s="7">
        <v>91</v>
      </c>
      <c r="C355" s="35">
        <v>0</v>
      </c>
      <c r="D355" s="36">
        <v>-0.45614657139999998</v>
      </c>
      <c r="E355" s="36">
        <v>0.3055657054</v>
      </c>
      <c r="S355" s="35"/>
      <c r="T355" s="82"/>
      <c r="U355" s="82"/>
      <c r="V355" s="82"/>
    </row>
    <row r="356" spans="2:22" x14ac:dyDescent="0.25">
      <c r="B356" s="7">
        <v>91.25</v>
      </c>
      <c r="C356" s="35">
        <v>0</v>
      </c>
      <c r="D356" s="36">
        <v>-0.45900196180000002</v>
      </c>
      <c r="E356" s="36">
        <v>0.30732506440000001</v>
      </c>
      <c r="S356" s="35"/>
      <c r="T356" s="82"/>
      <c r="U356" s="82"/>
      <c r="V356" s="82"/>
    </row>
    <row r="357" spans="2:22" x14ac:dyDescent="0.25">
      <c r="B357" s="7">
        <v>91.5</v>
      </c>
      <c r="C357" s="35">
        <v>0</v>
      </c>
      <c r="D357" s="36">
        <v>-0.46184964280000002</v>
      </c>
      <c r="E357" s="36">
        <v>0.30907963189999998</v>
      </c>
      <c r="S357" s="35"/>
      <c r="T357" s="82"/>
      <c r="U357" s="82"/>
      <c r="V357" s="82"/>
    </row>
    <row r="358" spans="2:22" x14ac:dyDescent="0.25">
      <c r="B358" s="7">
        <v>91.75</v>
      </c>
      <c r="C358" s="35">
        <v>0</v>
      </c>
      <c r="D358" s="36">
        <v>-0.46468964289999998</v>
      </c>
      <c r="E358" s="36">
        <v>0.31082943060000001</v>
      </c>
      <c r="S358" s="35"/>
      <c r="T358" s="82"/>
      <c r="U358" s="82"/>
      <c r="V358" s="82"/>
    </row>
    <row r="359" spans="2:22" x14ac:dyDescent="0.25">
      <c r="B359" s="7">
        <v>92</v>
      </c>
      <c r="C359" s="35">
        <v>0</v>
      </c>
      <c r="D359" s="36">
        <v>-0.4675219907</v>
      </c>
      <c r="E359" s="36">
        <v>0.31257448290000001</v>
      </c>
      <c r="S359" s="35"/>
      <c r="T359" s="82"/>
      <c r="U359" s="82"/>
      <c r="V359" s="82"/>
    </row>
    <row r="360" spans="2:22" x14ac:dyDescent="0.25">
      <c r="B360" s="7">
        <v>92.25</v>
      </c>
      <c r="C360" s="35">
        <v>0</v>
      </c>
      <c r="D360" s="36">
        <v>-0.4703467154</v>
      </c>
      <c r="E360" s="36">
        <v>0.31431481150000001</v>
      </c>
      <c r="S360" s="35"/>
      <c r="T360" s="82"/>
      <c r="U360" s="82"/>
      <c r="V360" s="82"/>
    </row>
    <row r="361" spans="2:22" x14ac:dyDescent="0.25">
      <c r="B361" s="7">
        <v>92.5</v>
      </c>
      <c r="C361" s="35">
        <v>0</v>
      </c>
      <c r="D361" s="36">
        <v>-0.47316385090000002</v>
      </c>
      <c r="E361" s="36">
        <v>0.31605044069999999</v>
      </c>
      <c r="S361" s="35"/>
      <c r="T361" s="82"/>
      <c r="U361" s="82"/>
      <c r="V361" s="82"/>
    </row>
    <row r="362" spans="2:22" x14ac:dyDescent="0.25">
      <c r="B362" s="7">
        <v>92.75</v>
      </c>
      <c r="C362" s="35">
        <v>0</v>
      </c>
      <c r="D362" s="36">
        <v>-0.47597343180000001</v>
      </c>
      <c r="E362" s="36">
        <v>0.31778139480000001</v>
      </c>
      <c r="S362" s="35"/>
      <c r="T362" s="82"/>
      <c r="U362" s="82"/>
      <c r="V362" s="82"/>
    </row>
    <row r="363" spans="2:22" x14ac:dyDescent="0.25">
      <c r="B363" s="7">
        <v>93</v>
      </c>
      <c r="C363" s="35">
        <v>0</v>
      </c>
      <c r="D363" s="36">
        <v>-0.4787754924</v>
      </c>
      <c r="E363" s="36">
        <v>0.31950769820000002</v>
      </c>
      <c r="S363" s="35"/>
      <c r="T363" s="82"/>
      <c r="U363" s="82"/>
      <c r="V363" s="82"/>
    </row>
    <row r="364" spans="2:22" x14ac:dyDescent="0.25">
      <c r="B364" s="7">
        <v>93.25</v>
      </c>
      <c r="C364" s="35">
        <v>0</v>
      </c>
      <c r="D364" s="36">
        <v>-0.48157006679999997</v>
      </c>
      <c r="E364" s="36">
        <v>0.32122937489999998</v>
      </c>
      <c r="S364" s="35"/>
      <c r="T364" s="82"/>
      <c r="U364" s="82"/>
      <c r="V364" s="82"/>
    </row>
    <row r="365" spans="2:22" x14ac:dyDescent="0.25">
      <c r="B365" s="7">
        <v>93.5</v>
      </c>
      <c r="C365" s="35">
        <v>0</v>
      </c>
      <c r="D365" s="36">
        <v>-0.4843571881</v>
      </c>
      <c r="E365" s="36">
        <v>0.32294644859999999</v>
      </c>
      <c r="S365" s="35"/>
      <c r="T365" s="82"/>
      <c r="U365" s="82"/>
      <c r="V365" s="82"/>
    </row>
    <row r="366" spans="2:22" x14ac:dyDescent="0.25">
      <c r="B366" s="7">
        <v>93.75</v>
      </c>
      <c r="C366" s="35">
        <v>0</v>
      </c>
      <c r="D366" s="36">
        <v>-0.48713688919999998</v>
      </c>
      <c r="E366" s="36">
        <v>0.32465894290000002</v>
      </c>
      <c r="S366" s="35"/>
      <c r="T366" s="82"/>
      <c r="U366" s="82"/>
      <c r="V366" s="82"/>
    </row>
    <row r="367" spans="2:22" x14ac:dyDescent="0.25">
      <c r="B367" s="7">
        <v>94</v>
      </c>
      <c r="C367" s="35">
        <v>0</v>
      </c>
      <c r="D367" s="36">
        <v>-0.48990920290000001</v>
      </c>
      <c r="E367" s="36">
        <v>0.326366881</v>
      </c>
      <c r="S367" s="35"/>
      <c r="T367" s="82"/>
      <c r="U367" s="82"/>
      <c r="V367" s="82"/>
    </row>
    <row r="368" spans="2:22" x14ac:dyDescent="0.25">
      <c r="B368" s="7">
        <v>94.25</v>
      </c>
      <c r="C368" s="35">
        <v>0</v>
      </c>
      <c r="D368" s="36">
        <v>-0.4926741623</v>
      </c>
      <c r="E368" s="36">
        <v>0.32807028599999999</v>
      </c>
      <c r="S368" s="35"/>
      <c r="T368" s="82"/>
      <c r="U368" s="82"/>
      <c r="V368" s="82"/>
    </row>
    <row r="369" spans="2:22" x14ac:dyDescent="0.25">
      <c r="B369" s="7">
        <v>94.5</v>
      </c>
      <c r="C369" s="35">
        <v>0</v>
      </c>
      <c r="D369" s="36">
        <v>-0.4954318036</v>
      </c>
      <c r="E369" s="36">
        <v>0.32976918119999998</v>
      </c>
      <c r="S369" s="35"/>
      <c r="T369" s="82"/>
      <c r="U369" s="82"/>
      <c r="V369" s="82"/>
    </row>
    <row r="370" spans="2:22" x14ac:dyDescent="0.25">
      <c r="B370" s="7">
        <v>94.75</v>
      </c>
      <c r="C370" s="35">
        <v>0</v>
      </c>
      <c r="D370" s="36">
        <v>-0.49818216329999998</v>
      </c>
      <c r="E370" s="36">
        <v>0.3314635896</v>
      </c>
      <c r="S370" s="35"/>
      <c r="T370" s="82"/>
      <c r="U370" s="82"/>
      <c r="V370" s="82"/>
    </row>
    <row r="371" spans="2:22" x14ac:dyDescent="0.25">
      <c r="B371" s="7">
        <v>95</v>
      </c>
      <c r="C371" s="35">
        <v>0</v>
      </c>
      <c r="D371" s="36">
        <v>-0.50092527769999995</v>
      </c>
      <c r="E371" s="36">
        <v>0.333153533</v>
      </c>
      <c r="S371" s="35"/>
      <c r="T371" s="82"/>
      <c r="U371" s="82"/>
      <c r="V371" s="82"/>
    </row>
    <row r="372" spans="2:22" x14ac:dyDescent="0.25">
      <c r="S372" s="35"/>
      <c r="T372" s="82"/>
      <c r="U372" s="82"/>
      <c r="V372" s="82"/>
    </row>
    <row r="373" spans="2:22" x14ac:dyDescent="0.25">
      <c r="S373" s="35"/>
      <c r="T373" s="82"/>
      <c r="U373" s="82"/>
      <c r="V373" s="82"/>
    </row>
    <row r="374" spans="2:22" x14ac:dyDescent="0.25">
      <c r="S374" s="35"/>
      <c r="T374" s="82"/>
      <c r="U374" s="82"/>
      <c r="V374" s="82"/>
    </row>
    <row r="375" spans="2:22" x14ac:dyDescent="0.25">
      <c r="S375" s="35"/>
      <c r="T375" s="82"/>
      <c r="U375" s="82"/>
      <c r="V375" s="82"/>
    </row>
    <row r="376" spans="2:22" x14ac:dyDescent="0.25">
      <c r="S376" s="35"/>
      <c r="T376" s="82"/>
      <c r="U376" s="82"/>
      <c r="V376" s="82"/>
    </row>
    <row r="377" spans="2:22" x14ac:dyDescent="0.25">
      <c r="S377" s="35"/>
      <c r="T377" s="82"/>
      <c r="U377" s="82"/>
      <c r="V377" s="82"/>
    </row>
    <row r="378" spans="2:22" x14ac:dyDescent="0.25">
      <c r="S378" s="35"/>
      <c r="T378" s="82"/>
      <c r="U378" s="82"/>
      <c r="V378" s="82"/>
    </row>
    <row r="379" spans="2:22" x14ac:dyDescent="0.25">
      <c r="S379" s="35"/>
      <c r="T379" s="82"/>
      <c r="U379" s="82"/>
      <c r="V379" s="82"/>
    </row>
    <row r="380" spans="2:22" x14ac:dyDescent="0.25">
      <c r="S380" s="35"/>
      <c r="T380" s="82"/>
      <c r="U380" s="82"/>
      <c r="V380" s="82"/>
    </row>
    <row r="381" spans="2:22" x14ac:dyDescent="0.25">
      <c r="S381" s="35"/>
      <c r="T381" s="82"/>
      <c r="U381" s="82"/>
      <c r="V381" s="82"/>
    </row>
    <row r="382" spans="2:22" x14ac:dyDescent="0.25">
      <c r="S382" s="35"/>
      <c r="T382" s="82"/>
      <c r="U382" s="82"/>
      <c r="V382" s="82"/>
    </row>
    <row r="383" spans="2:22" x14ac:dyDescent="0.25">
      <c r="S383" s="35"/>
      <c r="T383" s="82"/>
      <c r="U383" s="82"/>
      <c r="V383" s="82"/>
    </row>
    <row r="384" spans="2:22" x14ac:dyDescent="0.25">
      <c r="S384" s="35"/>
      <c r="T384" s="82"/>
      <c r="U384" s="82"/>
      <c r="V384" s="82"/>
    </row>
    <row r="385" spans="19:22" x14ac:dyDescent="0.25">
      <c r="S385" s="35"/>
      <c r="T385" s="82"/>
      <c r="U385" s="82"/>
      <c r="V385" s="82"/>
    </row>
    <row r="386" spans="19:22" x14ac:dyDescent="0.25">
      <c r="S386" s="35"/>
      <c r="T386" s="82"/>
      <c r="U386" s="82"/>
      <c r="V386" s="82"/>
    </row>
    <row r="387" spans="19:22" x14ac:dyDescent="0.25">
      <c r="S387" s="35"/>
      <c r="T387" s="82"/>
      <c r="U387" s="82"/>
      <c r="V387" s="82"/>
    </row>
  </sheetData>
  <mergeCells count="11">
    <mergeCell ref="U3:V3"/>
    <mergeCell ref="X3:Y3"/>
    <mergeCell ref="Q1:Y1"/>
    <mergeCell ref="G1:O1"/>
    <mergeCell ref="B1:E1"/>
    <mergeCell ref="H2:O2"/>
    <mergeCell ref="R2:Y2"/>
    <mergeCell ref="H3:I3"/>
    <mergeCell ref="K3:L3"/>
    <mergeCell ref="N3:O3"/>
    <mergeCell ref="R3:S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A1934-8235-41BB-89F1-E8DAE38505E0}">
  <dimension ref="B1:Z393"/>
  <sheetViews>
    <sheetView workbookViewId="0">
      <selection activeCell="S17" sqref="S17"/>
    </sheetView>
  </sheetViews>
  <sheetFormatPr defaultColWidth="9.109375" defaultRowHeight="12" x14ac:dyDescent="0.25"/>
  <cols>
    <col min="1" max="3" width="9.109375" style="1"/>
    <col min="4" max="4" width="10.5546875" style="89" bestFit="1" customWidth="1"/>
    <col min="5" max="5" width="9.109375" style="89"/>
    <col min="6" max="6" width="9.109375" style="1"/>
    <col min="7" max="7" width="11.6640625" style="1" customWidth="1"/>
    <col min="8" max="8" width="9.109375" style="1"/>
    <col min="9" max="9" width="9.109375" style="89"/>
    <col min="10" max="11" width="9.109375" style="1"/>
    <col min="12" max="12" width="9.109375" style="89"/>
    <col min="13" max="14" width="9.109375" style="1"/>
    <col min="15" max="15" width="9.109375" style="89"/>
    <col min="16" max="16384" width="9.109375" style="1"/>
  </cols>
  <sheetData>
    <row r="1" spans="2:26" ht="15.6" thickTop="1" thickBot="1" x14ac:dyDescent="0.35">
      <c r="B1" s="141" t="s">
        <v>159</v>
      </c>
      <c r="C1" s="142"/>
      <c r="D1" s="142"/>
      <c r="E1" s="143"/>
      <c r="G1" s="141" t="s">
        <v>160</v>
      </c>
      <c r="H1" s="142"/>
      <c r="I1" s="142"/>
      <c r="J1" s="142"/>
      <c r="K1" s="142"/>
      <c r="L1" s="142"/>
      <c r="M1" s="142"/>
      <c r="N1" s="142"/>
      <c r="O1" s="143"/>
      <c r="Q1" s="141" t="s">
        <v>158</v>
      </c>
      <c r="R1" s="142"/>
      <c r="S1" s="142"/>
      <c r="T1" s="142"/>
      <c r="U1" s="142"/>
      <c r="V1" s="142"/>
      <c r="W1" s="142"/>
      <c r="X1" s="142"/>
      <c r="Y1" s="143"/>
    </row>
    <row r="2" spans="2:26" ht="15" thickTop="1" x14ac:dyDescent="0.3">
      <c r="B2" s="35" t="s">
        <v>0</v>
      </c>
      <c r="C2" s="36" t="s">
        <v>35</v>
      </c>
      <c r="D2" s="36" t="s">
        <v>33</v>
      </c>
      <c r="E2" s="36" t="s">
        <v>34</v>
      </c>
      <c r="F2" s="4"/>
      <c r="G2" s="40"/>
      <c r="H2" s="144" t="s">
        <v>47</v>
      </c>
      <c r="I2" s="145"/>
      <c r="J2" s="145"/>
      <c r="K2" s="145"/>
      <c r="L2" s="145"/>
      <c r="M2" s="145"/>
      <c r="N2" s="146"/>
      <c r="O2" s="147"/>
      <c r="Q2" s="40"/>
      <c r="R2" s="145" t="s">
        <v>47</v>
      </c>
      <c r="S2" s="145"/>
      <c r="T2" s="145"/>
      <c r="U2" s="145"/>
      <c r="V2" s="145"/>
      <c r="W2" s="145"/>
      <c r="X2" s="145"/>
      <c r="Y2" s="148"/>
    </row>
    <row r="3" spans="2:26" ht="14.4" x14ac:dyDescent="0.25">
      <c r="B3" s="35">
        <v>3</v>
      </c>
      <c r="C3" s="123">
        <v>0</v>
      </c>
      <c r="D3" s="36">
        <v>-0.19404556449999999</v>
      </c>
      <c r="E3" s="36">
        <v>0.36935210000000002</v>
      </c>
      <c r="G3" s="42"/>
      <c r="H3" s="158" t="s">
        <v>41</v>
      </c>
      <c r="I3" s="159"/>
      <c r="K3" s="160" t="s">
        <v>42</v>
      </c>
      <c r="L3" s="159"/>
      <c r="N3" s="161" t="s">
        <v>43</v>
      </c>
      <c r="O3" s="162"/>
      <c r="Q3" s="41"/>
      <c r="R3" s="149" t="s">
        <v>33</v>
      </c>
      <c r="S3" s="150"/>
      <c r="U3" s="149" t="s">
        <v>34</v>
      </c>
      <c r="V3" s="150"/>
      <c r="X3" s="149" t="s">
        <v>35</v>
      </c>
      <c r="Y3" s="150"/>
      <c r="Z3" s="35"/>
    </row>
    <row r="4" spans="2:26" x14ac:dyDescent="0.25">
      <c r="B4" s="35">
        <v>3.25</v>
      </c>
      <c r="C4" s="123">
        <v>0</v>
      </c>
      <c r="D4" s="36">
        <v>-0.1824130162</v>
      </c>
      <c r="E4" s="36">
        <v>0.34310420000000003</v>
      </c>
      <c r="G4" s="48" t="s">
        <v>1</v>
      </c>
      <c r="H4" s="49" t="s">
        <v>2</v>
      </c>
      <c r="I4" s="88">
        <v>-10.403</v>
      </c>
      <c r="K4" s="51" t="s">
        <v>27</v>
      </c>
      <c r="L4" s="88">
        <v>-2.3549000000000002</v>
      </c>
      <c r="N4" s="51" t="s">
        <v>31</v>
      </c>
      <c r="O4" s="102">
        <v>0.8236</v>
      </c>
      <c r="Q4" s="41" t="s">
        <v>1</v>
      </c>
      <c r="R4" s="43" t="s">
        <v>8</v>
      </c>
      <c r="S4" s="124">
        <v>7.4499999999999997E-2</v>
      </c>
      <c r="T4" s="45"/>
      <c r="U4" s="46" t="s">
        <v>14</v>
      </c>
      <c r="V4" s="124">
        <v>-0.2301</v>
      </c>
      <c r="W4" s="2"/>
      <c r="X4" s="43" t="s">
        <v>20</v>
      </c>
      <c r="Y4" s="47">
        <v>0</v>
      </c>
      <c r="Z4" s="35"/>
    </row>
    <row r="5" spans="2:26" x14ac:dyDescent="0.25">
      <c r="B5" s="35">
        <v>3.5</v>
      </c>
      <c r="C5" s="123">
        <v>0</v>
      </c>
      <c r="D5" s="36">
        <v>-0.17167956309999999</v>
      </c>
      <c r="E5" s="36">
        <v>0.31864759999999998</v>
      </c>
      <c r="G5" s="48" t="s">
        <v>49</v>
      </c>
      <c r="H5" s="49" t="s">
        <v>3</v>
      </c>
      <c r="I5" s="88">
        <v>2.2633000000000001</v>
      </c>
      <c r="K5" s="52"/>
      <c r="L5" s="92"/>
      <c r="N5" s="51"/>
      <c r="O5" s="110"/>
      <c r="Q5" s="41" t="s">
        <v>67</v>
      </c>
      <c r="R5" s="43" t="s">
        <v>9</v>
      </c>
      <c r="S5" s="124">
        <v>0.60060000000000002</v>
      </c>
      <c r="T5" s="45"/>
      <c r="U5" s="46" t="s">
        <v>15</v>
      </c>
      <c r="V5" s="124">
        <v>3.7698999999999998</v>
      </c>
      <c r="X5" s="43" t="s">
        <v>21</v>
      </c>
      <c r="Y5" s="47">
        <v>0</v>
      </c>
      <c r="Z5" s="35"/>
    </row>
    <row r="6" spans="2:26" ht="13.8" x14ac:dyDescent="0.25">
      <c r="B6" s="35">
        <v>3.75</v>
      </c>
      <c r="C6" s="123">
        <v>0</v>
      </c>
      <c r="D6" s="36">
        <v>-0.16186620879999999</v>
      </c>
      <c r="E6" s="36">
        <v>0.2957823</v>
      </c>
      <c r="G6" s="48" t="s">
        <v>48</v>
      </c>
      <c r="H6" s="49" t="s">
        <v>4</v>
      </c>
      <c r="I6" s="88">
        <v>2.3400000000000001E-2</v>
      </c>
      <c r="K6" s="51" t="s">
        <v>28</v>
      </c>
      <c r="L6" s="88">
        <v>0.1017</v>
      </c>
      <c r="N6" s="51" t="s">
        <v>32</v>
      </c>
      <c r="O6" s="121">
        <v>0</v>
      </c>
      <c r="Q6" s="41" t="s">
        <v>68</v>
      </c>
      <c r="R6" s="43" t="s">
        <v>10</v>
      </c>
      <c r="S6" s="124">
        <v>-1.0684</v>
      </c>
      <c r="T6" s="45"/>
      <c r="U6" s="46" t="s">
        <v>16</v>
      </c>
      <c r="V6" s="124">
        <v>-22.431799999999999</v>
      </c>
      <c r="X6" s="43" t="s">
        <v>22</v>
      </c>
      <c r="Y6" s="47">
        <v>0</v>
      </c>
      <c r="Z6" s="35"/>
    </row>
    <row r="7" spans="2:26" ht="13.8" x14ac:dyDescent="0.25">
      <c r="B7" s="35">
        <v>4</v>
      </c>
      <c r="C7" s="123">
        <v>0</v>
      </c>
      <c r="D7" s="36">
        <v>-0.1530027383</v>
      </c>
      <c r="E7" s="36">
        <v>0.27437800000000001</v>
      </c>
      <c r="G7" s="48" t="s">
        <v>50</v>
      </c>
      <c r="H7" s="49" t="s">
        <v>5</v>
      </c>
      <c r="I7" s="88">
        <v>-0.1555</v>
      </c>
      <c r="K7" s="51" t="s">
        <v>29</v>
      </c>
      <c r="L7" s="88">
        <v>8.1000000000000003E-2</v>
      </c>
      <c r="N7" s="51" t="s">
        <v>26</v>
      </c>
      <c r="O7" s="103" t="s">
        <v>35</v>
      </c>
      <c r="Q7" s="41" t="s">
        <v>69</v>
      </c>
      <c r="R7" s="43" t="s">
        <v>11</v>
      </c>
      <c r="S7" s="124">
        <v>-1.1308</v>
      </c>
      <c r="T7" s="45"/>
      <c r="U7" s="46" t="s">
        <v>17</v>
      </c>
      <c r="V7" s="124">
        <v>51.821899999999999</v>
      </c>
      <c r="X7" s="43" t="s">
        <v>23</v>
      </c>
      <c r="Y7" s="47">
        <v>0</v>
      </c>
      <c r="Z7" s="35"/>
    </row>
    <row r="8" spans="2:26" ht="13.8" x14ac:dyDescent="0.25">
      <c r="B8" s="35">
        <v>4.25</v>
      </c>
      <c r="C8" s="123">
        <v>0</v>
      </c>
      <c r="D8" s="36">
        <v>-0.1451030951</v>
      </c>
      <c r="E8" s="36">
        <v>0.2542469</v>
      </c>
      <c r="G8" s="48" t="s">
        <v>51</v>
      </c>
      <c r="H8" s="49" t="s">
        <v>6</v>
      </c>
      <c r="I8" s="88">
        <v>-2.6200000000000001E-2</v>
      </c>
      <c r="K8" s="51" t="s">
        <v>30</v>
      </c>
      <c r="L8" s="133">
        <v>-0.18090000000000001</v>
      </c>
      <c r="N8" s="51"/>
      <c r="O8" s="88"/>
      <c r="Q8" s="41" t="s">
        <v>70</v>
      </c>
      <c r="R8" s="43" t="s">
        <v>12</v>
      </c>
      <c r="S8" s="124">
        <v>0.97299999999999998</v>
      </c>
      <c r="T8" s="45"/>
      <c r="U8" s="46" t="s">
        <v>18</v>
      </c>
      <c r="V8" s="124">
        <v>-49.784500000000001</v>
      </c>
      <c r="X8" s="43" t="s">
        <v>24</v>
      </c>
      <c r="Y8" s="47">
        <v>0</v>
      </c>
      <c r="Z8" s="35"/>
    </row>
    <row r="9" spans="2:26" ht="13.8" x14ac:dyDescent="0.25">
      <c r="B9" s="35">
        <v>4.5</v>
      </c>
      <c r="C9" s="123">
        <v>0</v>
      </c>
      <c r="D9" s="36">
        <v>-0.13822356399999999</v>
      </c>
      <c r="E9" s="36">
        <v>0.23516119999999999</v>
      </c>
      <c r="G9" s="48" t="s">
        <v>52</v>
      </c>
      <c r="H9" s="49" t="s">
        <v>38</v>
      </c>
      <c r="I9" s="88">
        <v>-0.15160000000000001</v>
      </c>
      <c r="K9" s="51" t="s">
        <v>44</v>
      </c>
      <c r="L9" s="88">
        <v>4.5900000000000003E-2</v>
      </c>
      <c r="N9" s="51"/>
      <c r="O9" s="88"/>
      <c r="Q9" s="41" t="s">
        <v>71</v>
      </c>
      <c r="R9" s="43" t="s">
        <v>13</v>
      </c>
      <c r="S9" s="124">
        <v>6.4299999999999996E-2</v>
      </c>
      <c r="T9" s="45"/>
      <c r="U9" s="46" t="s">
        <v>19</v>
      </c>
      <c r="V9" s="124">
        <v>17.289400000000001</v>
      </c>
      <c r="X9" s="43" t="s">
        <v>25</v>
      </c>
      <c r="Y9" s="47">
        <v>0</v>
      </c>
      <c r="Z9" s="35"/>
    </row>
    <row r="10" spans="2:26" ht="13.8" x14ac:dyDescent="0.25">
      <c r="B10" s="35">
        <v>4.75</v>
      </c>
      <c r="C10" s="123">
        <v>0</v>
      </c>
      <c r="D10" s="36">
        <v>-0.13237783910000001</v>
      </c>
      <c r="E10" s="36">
        <v>0.2169635</v>
      </c>
      <c r="G10" s="132" t="s">
        <v>171</v>
      </c>
      <c r="H10" s="51" t="s">
        <v>169</v>
      </c>
      <c r="I10" s="88">
        <v>-8.3299999999999999E-2</v>
      </c>
      <c r="K10" s="51" t="s">
        <v>170</v>
      </c>
      <c r="L10" s="88">
        <v>-5.0299999999999997E-2</v>
      </c>
      <c r="N10" s="51"/>
      <c r="O10" s="88"/>
      <c r="Q10" s="41" t="s">
        <v>72</v>
      </c>
      <c r="R10" s="43"/>
      <c r="S10" s="53"/>
      <c r="U10" s="43"/>
      <c r="V10" s="54"/>
      <c r="X10" s="43" t="s">
        <v>39</v>
      </c>
      <c r="Y10" s="55">
        <v>0</v>
      </c>
      <c r="Z10" s="35"/>
    </row>
    <row r="11" spans="2:26" ht="13.8" x14ac:dyDescent="0.25">
      <c r="B11" s="35">
        <v>5</v>
      </c>
      <c r="C11" s="123">
        <v>0</v>
      </c>
      <c r="D11" s="36">
        <v>-0.12759234990000001</v>
      </c>
      <c r="E11" s="36">
        <v>0.1995257</v>
      </c>
      <c r="G11" s="56"/>
      <c r="H11" s="57"/>
      <c r="I11" s="95" t="s">
        <v>33</v>
      </c>
      <c r="K11" s="59"/>
      <c r="L11" s="95" t="s">
        <v>34</v>
      </c>
      <c r="N11" s="59"/>
      <c r="O11" s="104"/>
      <c r="Q11" s="64" t="s">
        <v>133</v>
      </c>
      <c r="R11" s="61"/>
      <c r="S11" s="62"/>
      <c r="U11" s="61"/>
      <c r="V11" s="62"/>
      <c r="X11" s="61" t="s">
        <v>40</v>
      </c>
      <c r="Y11" s="63">
        <v>0</v>
      </c>
      <c r="Z11" s="35"/>
    </row>
    <row r="12" spans="2:26" x14ac:dyDescent="0.25">
      <c r="B12" s="35">
        <v>5.25</v>
      </c>
      <c r="C12" s="123">
        <v>0</v>
      </c>
      <c r="D12" s="36">
        <v>-0.12375828630000001</v>
      </c>
      <c r="E12" s="36">
        <v>0.1827107</v>
      </c>
      <c r="Z12" s="35"/>
    </row>
    <row r="13" spans="2:26" x14ac:dyDescent="0.25">
      <c r="B13" s="35">
        <v>5.5</v>
      </c>
      <c r="C13" s="123">
        <v>0</v>
      </c>
      <c r="D13" s="36">
        <v>-0.120593934</v>
      </c>
      <c r="E13" s="36">
        <v>0.16643810000000001</v>
      </c>
      <c r="P13" s="35"/>
      <c r="R13" s="85"/>
      <c r="S13" s="35"/>
      <c r="T13" s="35"/>
      <c r="U13" s="35"/>
      <c r="V13" s="35"/>
      <c r="W13" s="35"/>
      <c r="X13" s="85"/>
      <c r="Z13" s="35"/>
    </row>
    <row r="14" spans="2:26" x14ac:dyDescent="0.25">
      <c r="B14" s="35">
        <v>5.75</v>
      </c>
      <c r="C14" s="123">
        <v>0</v>
      </c>
      <c r="D14" s="36">
        <v>-0.11785299539999999</v>
      </c>
      <c r="E14" s="36">
        <v>0.15068490000000001</v>
      </c>
      <c r="P14" s="35"/>
      <c r="R14" s="85"/>
      <c r="S14" s="35"/>
      <c r="T14" s="35"/>
      <c r="U14" s="35"/>
      <c r="V14" s="35"/>
      <c r="W14" s="35"/>
      <c r="X14" s="85"/>
      <c r="Z14" s="35"/>
    </row>
    <row r="15" spans="2:26" x14ac:dyDescent="0.25">
      <c r="B15" s="35">
        <v>6</v>
      </c>
      <c r="C15" s="123">
        <v>0</v>
      </c>
      <c r="D15" s="36">
        <v>-0.1153052441</v>
      </c>
      <c r="E15" s="36">
        <v>0.13547049999999999</v>
      </c>
      <c r="G15" s="2" t="s">
        <v>46</v>
      </c>
      <c r="O15" s="85"/>
      <c r="P15" s="35"/>
      <c r="Q15" s="35"/>
      <c r="R15" s="85"/>
      <c r="S15" s="35"/>
      <c r="T15" s="35"/>
      <c r="U15" s="35"/>
      <c r="V15" s="35"/>
      <c r="W15" s="35"/>
      <c r="X15" s="85"/>
      <c r="Y15" s="85"/>
      <c r="Z15" s="35"/>
    </row>
    <row r="16" spans="2:26" x14ac:dyDescent="0.25">
      <c r="B16" s="35">
        <v>6.25</v>
      </c>
      <c r="C16" s="123">
        <v>0</v>
      </c>
      <c r="D16" s="36">
        <v>-0.1127864363</v>
      </c>
      <c r="E16" s="36">
        <v>0.12085600000000001</v>
      </c>
      <c r="G16" s="1" t="s">
        <v>74</v>
      </c>
      <c r="O16" s="85"/>
      <c r="P16" s="35"/>
      <c r="Q16" s="35"/>
      <c r="R16" s="85"/>
      <c r="S16" s="35"/>
      <c r="T16" s="35"/>
      <c r="U16" s="35"/>
      <c r="V16" s="35"/>
      <c r="W16" s="35"/>
      <c r="X16" s="85"/>
      <c r="Y16" s="85"/>
      <c r="Z16" s="35"/>
    </row>
    <row r="17" spans="2:26" x14ac:dyDescent="0.25">
      <c r="B17" s="35">
        <v>6.5</v>
      </c>
      <c r="C17" s="123">
        <v>0</v>
      </c>
      <c r="D17" s="36">
        <v>-0.11017359979999999</v>
      </c>
      <c r="E17" s="36">
        <v>0.1069272</v>
      </c>
      <c r="G17" s="1" t="s">
        <v>73</v>
      </c>
      <c r="O17" s="85"/>
      <c r="P17" s="35"/>
      <c r="Q17" s="35"/>
      <c r="R17" s="85"/>
      <c r="S17" s="35"/>
      <c r="T17" s="35"/>
      <c r="U17" s="35"/>
      <c r="V17" s="35"/>
      <c r="W17" s="35"/>
      <c r="X17" s="85"/>
      <c r="Y17" s="85"/>
      <c r="Z17" s="35"/>
    </row>
    <row r="18" spans="2:26" ht="13.8" x14ac:dyDescent="0.25">
      <c r="B18" s="35">
        <v>6.75</v>
      </c>
      <c r="C18" s="123">
        <v>0</v>
      </c>
      <c r="D18" s="36">
        <v>-0.107391761</v>
      </c>
      <c r="E18" s="36">
        <v>9.3788179999999999E-2</v>
      </c>
      <c r="G18" s="1" t="s">
        <v>37</v>
      </c>
      <c r="O18" s="85"/>
      <c r="P18" s="35"/>
      <c r="Q18" s="35"/>
      <c r="R18" s="85"/>
      <c r="S18" s="35"/>
      <c r="T18" s="35"/>
      <c r="U18" s="35"/>
      <c r="V18" s="35"/>
      <c r="W18" s="35"/>
      <c r="X18" s="85"/>
      <c r="Y18" s="85"/>
      <c r="Z18" s="35"/>
    </row>
    <row r="19" spans="2:26" x14ac:dyDescent="0.25">
      <c r="B19" s="35">
        <v>7</v>
      </c>
      <c r="C19" s="123">
        <v>0</v>
      </c>
      <c r="D19" s="36">
        <v>-0.10445455100000001</v>
      </c>
      <c r="E19" s="36">
        <v>8.1490430000000003E-2</v>
      </c>
      <c r="O19" s="85"/>
      <c r="P19" s="35"/>
      <c r="Q19" s="35"/>
      <c r="R19" s="35"/>
      <c r="S19" s="85"/>
      <c r="T19" s="35"/>
      <c r="U19" s="35"/>
      <c r="V19" s="35"/>
      <c r="W19" s="35"/>
      <c r="X19" s="35"/>
      <c r="Y19" s="85"/>
      <c r="Z19" s="35"/>
    </row>
    <row r="20" spans="2:26" x14ac:dyDescent="0.25">
      <c r="B20" s="35">
        <v>7.25</v>
      </c>
      <c r="C20" s="123">
        <v>0</v>
      </c>
      <c r="D20" s="36">
        <v>-0.1014143926</v>
      </c>
      <c r="E20" s="36">
        <v>6.9999599999999995E-2</v>
      </c>
      <c r="G20" s="1" t="s">
        <v>82</v>
      </c>
      <c r="O20" s="85"/>
      <c r="P20" s="35"/>
      <c r="Q20" s="35"/>
      <c r="R20" s="35"/>
      <c r="S20" s="85"/>
      <c r="T20" s="35"/>
      <c r="U20" s="35"/>
      <c r="V20" s="35"/>
      <c r="W20" s="35"/>
      <c r="X20" s="35"/>
      <c r="Y20" s="85"/>
      <c r="Z20" s="35"/>
    </row>
    <row r="21" spans="2:26" x14ac:dyDescent="0.25">
      <c r="B21" s="35">
        <v>7.5</v>
      </c>
      <c r="C21" s="123">
        <v>0</v>
      </c>
      <c r="D21" s="36">
        <v>-9.8311544000000001E-2</v>
      </c>
      <c r="E21" s="36">
        <v>5.924666E-2</v>
      </c>
      <c r="G21" s="1" t="s">
        <v>81</v>
      </c>
      <c r="O21" s="85"/>
      <c r="P21" s="35"/>
      <c r="Q21" s="35"/>
      <c r="R21" s="35"/>
      <c r="S21" s="85"/>
      <c r="T21" s="35"/>
      <c r="U21" s="35"/>
      <c r="V21" s="35"/>
      <c r="W21" s="35"/>
      <c r="X21" s="35"/>
      <c r="Y21" s="85"/>
      <c r="Z21" s="35"/>
    </row>
    <row r="22" spans="2:26" x14ac:dyDescent="0.25">
      <c r="B22" s="35">
        <v>7.75</v>
      </c>
      <c r="C22" s="123">
        <v>0</v>
      </c>
      <c r="D22" s="36">
        <v>-9.5151491000000005E-2</v>
      </c>
      <c r="E22" s="36">
        <v>4.9142770000000002E-2</v>
      </c>
      <c r="F22" s="35"/>
      <c r="G22" s="1" t="s">
        <v>75</v>
      </c>
      <c r="H22" s="1" t="s">
        <v>76</v>
      </c>
      <c r="O22" s="85"/>
      <c r="P22" s="35"/>
      <c r="Q22" s="35"/>
      <c r="R22" s="35"/>
      <c r="S22" s="85"/>
      <c r="T22" s="35"/>
      <c r="U22" s="35"/>
      <c r="V22" s="35"/>
      <c r="W22" s="35"/>
      <c r="X22" s="35"/>
      <c r="Y22" s="85"/>
      <c r="Z22" s="35"/>
    </row>
    <row r="23" spans="2:26" x14ac:dyDescent="0.25">
      <c r="B23" s="35">
        <v>8</v>
      </c>
      <c r="C23" s="123">
        <v>0</v>
      </c>
      <c r="D23" s="36">
        <v>-9.1802842100000004E-2</v>
      </c>
      <c r="E23" s="36">
        <v>3.9620990000000002E-2</v>
      </c>
      <c r="F23" s="35"/>
      <c r="G23" s="1" t="s">
        <v>77</v>
      </c>
      <c r="H23" s="1" t="s">
        <v>78</v>
      </c>
      <c r="O23" s="85"/>
      <c r="P23" s="35"/>
      <c r="Q23" s="35"/>
      <c r="R23" s="35"/>
      <c r="S23" s="85"/>
      <c r="T23" s="35"/>
      <c r="U23" s="35"/>
      <c r="V23" s="35"/>
      <c r="W23" s="35"/>
      <c r="X23" s="35"/>
      <c r="Y23" s="85"/>
      <c r="Z23" s="35"/>
    </row>
    <row r="24" spans="2:26" x14ac:dyDescent="0.25">
      <c r="B24" s="35">
        <v>8.25</v>
      </c>
      <c r="C24" s="123">
        <v>0</v>
      </c>
      <c r="D24" s="36">
        <v>-8.8068504899999997E-2</v>
      </c>
      <c r="E24" s="36">
        <v>3.06564E-2</v>
      </c>
      <c r="F24" s="35"/>
      <c r="G24" s="1" t="s">
        <v>79</v>
      </c>
      <c r="H24" s="1" t="s">
        <v>80</v>
      </c>
      <c r="O24" s="85"/>
      <c r="P24" s="35"/>
      <c r="Q24" s="35"/>
      <c r="R24" s="35"/>
      <c r="S24" s="85"/>
      <c r="T24" s="35"/>
      <c r="U24" s="35"/>
      <c r="V24" s="35"/>
      <c r="W24" s="35"/>
      <c r="X24" s="35"/>
      <c r="Y24" s="85"/>
      <c r="Z24" s="35"/>
    </row>
    <row r="25" spans="2:26" x14ac:dyDescent="0.25">
      <c r="B25" s="35">
        <v>8.5</v>
      </c>
      <c r="C25" s="123">
        <v>0</v>
      </c>
      <c r="D25" s="36">
        <v>-8.3756268800000006E-2</v>
      </c>
      <c r="E25" s="36">
        <v>2.2273060000000001E-2</v>
      </c>
      <c r="F25" s="35"/>
      <c r="G25" s="1" t="s">
        <v>171</v>
      </c>
      <c r="H25" s="1" t="s">
        <v>172</v>
      </c>
      <c r="O25" s="85"/>
      <c r="P25" s="35"/>
      <c r="Q25" s="35"/>
      <c r="R25" s="35"/>
      <c r="S25" s="85"/>
      <c r="T25" s="35"/>
      <c r="U25" s="35"/>
      <c r="V25" s="35"/>
      <c r="W25" s="35"/>
      <c r="X25" s="35"/>
      <c r="Y25" s="85"/>
      <c r="Z25" s="35"/>
    </row>
    <row r="26" spans="2:26" x14ac:dyDescent="0.25">
      <c r="B26" s="35">
        <v>8.75</v>
      </c>
      <c r="C26" s="123">
        <v>0</v>
      </c>
      <c r="D26" s="36">
        <v>-7.87290031E-2</v>
      </c>
      <c r="E26" s="36">
        <v>1.450309E-2</v>
      </c>
      <c r="F26" s="35"/>
      <c r="O26" s="85"/>
      <c r="P26" s="35"/>
      <c r="Q26" s="35"/>
      <c r="R26" s="35"/>
      <c r="S26" s="85"/>
      <c r="T26" s="35"/>
      <c r="U26" s="35"/>
      <c r="V26" s="35"/>
      <c r="W26" s="35"/>
      <c r="X26" s="35"/>
      <c r="Y26" s="85"/>
      <c r="Z26" s="35"/>
    </row>
    <row r="27" spans="2:26" x14ac:dyDescent="0.25">
      <c r="B27" s="35">
        <v>9</v>
      </c>
      <c r="C27" s="123">
        <v>0</v>
      </c>
      <c r="D27" s="36">
        <v>-7.3082961799999999E-2</v>
      </c>
      <c r="E27" s="36">
        <v>7.4114849999999998E-3</v>
      </c>
      <c r="F27" s="35"/>
      <c r="G27" s="11" t="s">
        <v>148</v>
      </c>
      <c r="O27" s="85"/>
      <c r="P27" s="35"/>
      <c r="Q27" s="35"/>
      <c r="R27" s="35"/>
      <c r="S27" s="85"/>
      <c r="T27" s="35"/>
      <c r="U27" s="35"/>
      <c r="V27" s="35"/>
      <c r="W27" s="35"/>
      <c r="X27" s="35"/>
      <c r="Y27" s="85"/>
      <c r="Z27" s="35"/>
    </row>
    <row r="28" spans="2:26" x14ac:dyDescent="0.25">
      <c r="B28" s="35">
        <v>9.25</v>
      </c>
      <c r="C28" s="123">
        <v>0</v>
      </c>
      <c r="D28" s="36">
        <v>-6.6934168299999999E-2</v>
      </c>
      <c r="E28" s="36">
        <v>1.0389360000000001E-3</v>
      </c>
      <c r="F28" s="35"/>
      <c r="G28" s="9" t="s">
        <v>45</v>
      </c>
      <c r="O28" s="85"/>
      <c r="P28" s="35"/>
      <c r="Q28" s="35"/>
      <c r="R28" s="35"/>
      <c r="S28" s="85"/>
      <c r="T28" s="35"/>
      <c r="U28" s="35"/>
      <c r="V28" s="35"/>
      <c r="W28" s="35"/>
      <c r="X28" s="35"/>
      <c r="Y28" s="85"/>
    </row>
    <row r="29" spans="2:26" x14ac:dyDescent="0.25">
      <c r="B29" s="35">
        <v>9.5</v>
      </c>
      <c r="C29" s="123">
        <v>0</v>
      </c>
      <c r="D29" s="36">
        <v>-6.0351010500000003E-2</v>
      </c>
      <c r="E29" s="36">
        <v>-4.6039619999999996E-3</v>
      </c>
      <c r="F29" s="35"/>
      <c r="G29" s="9"/>
      <c r="O29" s="85"/>
      <c r="P29" s="35"/>
      <c r="Q29" s="35"/>
      <c r="R29" s="35"/>
      <c r="S29" s="85"/>
      <c r="T29" s="35"/>
      <c r="U29" s="35"/>
      <c r="V29" s="35"/>
      <c r="W29" s="35"/>
      <c r="X29" s="35"/>
      <c r="Y29" s="85"/>
    </row>
    <row r="30" spans="2:26" x14ac:dyDescent="0.25">
      <c r="B30" s="35">
        <v>9.75</v>
      </c>
      <c r="C30" s="123">
        <v>0</v>
      </c>
      <c r="D30" s="36">
        <v>-5.3392276699999998E-2</v>
      </c>
      <c r="E30" s="36">
        <v>-9.5268499999999999E-3</v>
      </c>
      <c r="F30" s="35"/>
      <c r="G30" s="60" t="s">
        <v>54</v>
      </c>
      <c r="O30" s="85"/>
      <c r="P30" s="35"/>
      <c r="Q30" s="35"/>
      <c r="R30" s="35"/>
      <c r="S30" s="85"/>
      <c r="T30" s="35"/>
      <c r="U30" s="35"/>
      <c r="V30" s="35"/>
      <c r="W30" s="35"/>
      <c r="X30" s="35"/>
      <c r="Y30" s="85"/>
    </row>
    <row r="31" spans="2:26" ht="12.75" customHeight="1" x14ac:dyDescent="0.25">
      <c r="B31" s="35">
        <v>10</v>
      </c>
      <c r="C31" s="123">
        <v>0</v>
      </c>
      <c r="D31" s="36">
        <v>-4.6126932000000002E-2</v>
      </c>
      <c r="E31" s="36">
        <v>-1.3745530000000001E-2</v>
      </c>
      <c r="F31" s="35"/>
      <c r="G31" s="10" t="s">
        <v>175</v>
      </c>
      <c r="O31" s="85"/>
      <c r="P31" s="35"/>
      <c r="Q31" s="35"/>
      <c r="R31" s="35"/>
      <c r="S31" s="85"/>
      <c r="T31" s="35"/>
      <c r="U31" s="35"/>
      <c r="V31" s="35"/>
      <c r="W31" s="35"/>
      <c r="X31" s="35"/>
      <c r="Y31" s="85"/>
    </row>
    <row r="32" spans="2:26" x14ac:dyDescent="0.25">
      <c r="B32" s="35">
        <v>10.25</v>
      </c>
      <c r="C32" s="123">
        <v>0</v>
      </c>
      <c r="D32" s="36">
        <v>-3.8639263100000001E-2</v>
      </c>
      <c r="E32" s="36">
        <v>-1.7301179999999999E-2</v>
      </c>
      <c r="F32" s="35"/>
      <c r="G32" s="10" t="s">
        <v>53</v>
      </c>
      <c r="I32" s="36"/>
      <c r="O32" s="85"/>
      <c r="P32" s="35"/>
      <c r="Q32" s="35"/>
      <c r="R32" s="35"/>
      <c r="S32" s="85"/>
      <c r="T32" s="35"/>
      <c r="U32" s="35"/>
      <c r="V32" s="35"/>
      <c r="W32" s="35"/>
      <c r="X32" s="35"/>
      <c r="Y32" s="85"/>
    </row>
    <row r="33" spans="2:25" ht="12.75" customHeight="1" x14ac:dyDescent="0.25">
      <c r="B33" s="35">
        <v>10.5</v>
      </c>
      <c r="C33" s="123">
        <v>0</v>
      </c>
      <c r="D33" s="36">
        <v>-3.09947481E-2</v>
      </c>
      <c r="E33" s="36">
        <v>-2.025238E-2</v>
      </c>
      <c r="F33" s="35"/>
      <c r="G33" s="1" t="s">
        <v>55</v>
      </c>
      <c r="H33" s="35"/>
      <c r="I33" s="36"/>
      <c r="O33" s="85"/>
      <c r="P33" s="35"/>
      <c r="Q33" s="35"/>
      <c r="R33" s="35"/>
      <c r="S33" s="85"/>
      <c r="T33" s="35"/>
      <c r="U33" s="35"/>
      <c r="V33" s="35"/>
      <c r="W33" s="35"/>
      <c r="X33" s="35"/>
      <c r="Y33" s="85"/>
    </row>
    <row r="34" spans="2:25" x14ac:dyDescent="0.25">
      <c r="B34" s="35">
        <v>10.75</v>
      </c>
      <c r="C34" s="123">
        <v>0</v>
      </c>
      <c r="D34" s="36">
        <v>-2.3234086300000002E-2</v>
      </c>
      <c r="E34" s="36">
        <v>-2.2666990000000001E-2</v>
      </c>
      <c r="F34" s="35"/>
      <c r="G34" s="35"/>
      <c r="H34" s="35"/>
      <c r="I34" s="36"/>
      <c r="O34" s="85"/>
      <c r="P34" s="35"/>
      <c r="Q34" s="35"/>
      <c r="R34" s="35"/>
      <c r="S34" s="85"/>
      <c r="T34" s="35"/>
      <c r="U34" s="35"/>
      <c r="V34" s="35"/>
      <c r="W34" s="35"/>
      <c r="X34" s="35"/>
      <c r="Y34" s="85"/>
    </row>
    <row r="35" spans="2:25" ht="12.75" customHeight="1" x14ac:dyDescent="0.25">
      <c r="B35" s="35">
        <v>11</v>
      </c>
      <c r="C35" s="123">
        <v>0</v>
      </c>
      <c r="D35" s="36">
        <v>-1.5376478400000001E-2</v>
      </c>
      <c r="E35" s="36">
        <v>-2.4606719999999999E-2</v>
      </c>
      <c r="F35" s="35"/>
      <c r="G35" s="35"/>
      <c r="H35" s="35"/>
      <c r="I35" s="36"/>
      <c r="J35" s="85"/>
      <c r="O35" s="85"/>
      <c r="P35" s="35"/>
      <c r="Q35" s="35"/>
      <c r="R35" s="35"/>
      <c r="S35" s="85"/>
      <c r="T35" s="35"/>
      <c r="U35" s="35"/>
      <c r="V35" s="35"/>
      <c r="W35" s="35"/>
      <c r="X35" s="35"/>
      <c r="Y35" s="85"/>
    </row>
    <row r="36" spans="2:25" x14ac:dyDescent="0.25">
      <c r="B36" s="35">
        <v>11.25</v>
      </c>
      <c r="C36" s="123">
        <v>0</v>
      </c>
      <c r="D36" s="36">
        <v>-7.4307584999999997E-3</v>
      </c>
      <c r="E36" s="36">
        <v>-2.613273E-2</v>
      </c>
      <c r="F36" s="35"/>
      <c r="G36" s="35"/>
      <c r="H36" s="35"/>
      <c r="I36" s="36"/>
      <c r="J36" s="89"/>
      <c r="L36" s="1"/>
      <c r="M36" s="85"/>
      <c r="O36" s="85"/>
      <c r="P36" s="35"/>
      <c r="S36" s="85"/>
      <c r="T36" s="35"/>
      <c r="U36" s="35"/>
      <c r="V36" s="35"/>
      <c r="W36" s="35"/>
      <c r="X36" s="35"/>
      <c r="Y36" s="85"/>
    </row>
    <row r="37" spans="2:25" ht="15" customHeight="1" x14ac:dyDescent="0.25">
      <c r="B37" s="35">
        <v>11.5</v>
      </c>
      <c r="C37" s="123">
        <v>0</v>
      </c>
      <c r="D37" s="36">
        <v>5.7220589999999998E-4</v>
      </c>
      <c r="E37" s="36">
        <v>-2.7313110000000002E-2</v>
      </c>
      <c r="F37" s="35"/>
      <c r="G37" s="35"/>
      <c r="H37" s="35"/>
      <c r="I37" s="36"/>
      <c r="J37" s="89"/>
      <c r="L37" s="1"/>
      <c r="M37" s="89"/>
      <c r="P37" s="35"/>
      <c r="Q37" s="12"/>
      <c r="R37" s="12"/>
      <c r="S37" s="85"/>
    </row>
    <row r="38" spans="2:25" x14ac:dyDescent="0.25">
      <c r="B38" s="35">
        <v>11.75</v>
      </c>
      <c r="C38" s="123">
        <v>0</v>
      </c>
      <c r="D38" s="36">
        <v>8.5817227000000006E-3</v>
      </c>
      <c r="E38" s="36">
        <v>-2.8215299999999999E-2</v>
      </c>
      <c r="F38" s="35"/>
      <c r="G38" s="35"/>
      <c r="H38" s="35"/>
      <c r="I38" s="36"/>
      <c r="J38" s="89"/>
      <c r="L38" s="1"/>
      <c r="M38" s="89"/>
      <c r="P38" s="12"/>
      <c r="Q38" s="12"/>
      <c r="R38" s="12"/>
      <c r="S38" s="85"/>
    </row>
    <row r="39" spans="2:25" x14ac:dyDescent="0.25">
      <c r="B39" s="35">
        <v>12</v>
      </c>
      <c r="C39" s="123">
        <v>0</v>
      </c>
      <c r="D39" s="36">
        <v>1.6551430999999998E-2</v>
      </c>
      <c r="E39" s="36">
        <v>-2.890127E-2</v>
      </c>
      <c r="F39" s="35"/>
      <c r="G39" s="35"/>
      <c r="H39" s="35"/>
      <c r="I39" s="36"/>
      <c r="J39" s="89"/>
      <c r="L39" s="1"/>
      <c r="M39" s="89"/>
      <c r="P39" s="12"/>
      <c r="Q39" s="12"/>
      <c r="R39" s="12"/>
      <c r="S39" s="35"/>
    </row>
    <row r="40" spans="2:25" x14ac:dyDescent="0.25">
      <c r="B40" s="35">
        <v>12.25</v>
      </c>
      <c r="C40" s="123">
        <v>0</v>
      </c>
      <c r="D40" s="36">
        <v>2.4443417700000001E-2</v>
      </c>
      <c r="E40" s="36">
        <v>-2.9425690000000001E-2</v>
      </c>
      <c r="F40" s="35"/>
      <c r="G40" s="35"/>
      <c r="H40" s="35"/>
      <c r="I40" s="36"/>
      <c r="J40" s="89"/>
      <c r="L40" s="1"/>
      <c r="M40" s="89"/>
      <c r="P40" s="12"/>
      <c r="Q40" s="12"/>
      <c r="R40" s="12"/>
      <c r="S40" s="35"/>
    </row>
    <row r="41" spans="2:25" x14ac:dyDescent="0.25">
      <c r="B41" s="35">
        <v>12.5</v>
      </c>
      <c r="C41" s="123">
        <v>0</v>
      </c>
      <c r="D41" s="36">
        <v>3.2223030700000002E-2</v>
      </c>
      <c r="E41" s="36">
        <v>-2.9830579999999999E-2</v>
      </c>
      <c r="F41" s="35"/>
      <c r="G41" s="35"/>
      <c r="H41" s="35"/>
      <c r="I41" s="36"/>
      <c r="J41" s="89"/>
      <c r="L41" s="1"/>
      <c r="M41" s="89"/>
      <c r="P41" s="12"/>
      <c r="Q41" s="12"/>
      <c r="R41" s="12"/>
      <c r="S41" s="35"/>
    </row>
    <row r="42" spans="2:25" x14ac:dyDescent="0.25">
      <c r="B42" s="35">
        <v>12.75</v>
      </c>
      <c r="C42" s="123">
        <v>0</v>
      </c>
      <c r="D42" s="36">
        <v>3.9858872199999999E-2</v>
      </c>
      <c r="E42" s="36">
        <v>-3.0143630000000001E-2</v>
      </c>
      <c r="F42" s="35"/>
      <c r="G42" s="35"/>
      <c r="H42" s="35"/>
      <c r="I42" s="36"/>
      <c r="J42" s="89"/>
      <c r="L42" s="1"/>
      <c r="M42" s="89"/>
      <c r="P42" s="12"/>
      <c r="Q42" s="12"/>
      <c r="R42" s="12"/>
      <c r="S42" s="35"/>
    </row>
    <row r="43" spans="2:25" x14ac:dyDescent="0.25">
      <c r="B43" s="35">
        <v>13</v>
      </c>
      <c r="C43" s="123">
        <v>0</v>
      </c>
      <c r="D43" s="36">
        <v>4.7320146E-2</v>
      </c>
      <c r="E43" s="36">
        <v>-3.038573E-2</v>
      </c>
      <c r="F43" s="35"/>
      <c r="G43" s="35"/>
      <c r="H43" s="35"/>
      <c r="I43" s="36"/>
      <c r="J43" s="89"/>
      <c r="L43" s="1"/>
      <c r="M43" s="89"/>
      <c r="P43" s="12"/>
      <c r="Q43" s="12"/>
      <c r="R43" s="12"/>
      <c r="S43" s="35"/>
    </row>
    <row r="44" spans="2:25" x14ac:dyDescent="0.25">
      <c r="B44" s="35">
        <v>13.25</v>
      </c>
      <c r="C44" s="123">
        <v>0</v>
      </c>
      <c r="D44" s="36">
        <v>5.4580305799999999E-2</v>
      </c>
      <c r="E44" s="36">
        <v>-3.0573900000000001E-2</v>
      </c>
      <c r="F44" s="35"/>
      <c r="G44" s="35"/>
      <c r="H44" s="35"/>
      <c r="I44" s="36"/>
      <c r="J44" s="89"/>
      <c r="L44" s="1"/>
      <c r="M44" s="89"/>
      <c r="S44" s="35"/>
    </row>
    <row r="45" spans="2:25" x14ac:dyDescent="0.25">
      <c r="B45" s="35">
        <v>13.5</v>
      </c>
      <c r="C45" s="123">
        <v>0</v>
      </c>
      <c r="D45" s="36">
        <v>6.1610201900000001E-2</v>
      </c>
      <c r="E45" s="36">
        <v>-3.0722019999999999E-2</v>
      </c>
      <c r="F45" s="35"/>
      <c r="G45" s="35"/>
      <c r="H45" s="35"/>
      <c r="I45" s="36"/>
      <c r="J45" s="89"/>
      <c r="L45" s="1"/>
      <c r="M45" s="89"/>
      <c r="S45" s="35"/>
    </row>
    <row r="46" spans="2:25" x14ac:dyDescent="0.25">
      <c r="B46" s="35">
        <v>13.75</v>
      </c>
      <c r="C46" s="123">
        <v>0</v>
      </c>
      <c r="D46" s="36">
        <v>6.8385015300000004E-2</v>
      </c>
      <c r="E46" s="36">
        <v>-3.0845239999999999E-2</v>
      </c>
      <c r="F46" s="35"/>
      <c r="G46" s="35"/>
      <c r="H46" s="35"/>
      <c r="I46" s="36"/>
      <c r="J46" s="85"/>
      <c r="S46" s="35"/>
    </row>
    <row r="47" spans="2:25" x14ac:dyDescent="0.25">
      <c r="B47" s="35">
        <v>14</v>
      </c>
      <c r="C47" s="123">
        <v>0</v>
      </c>
      <c r="D47" s="36">
        <v>7.48851408E-2</v>
      </c>
      <c r="E47" s="36">
        <v>-3.096119E-2</v>
      </c>
      <c r="F47" s="35"/>
      <c r="G47" s="35"/>
      <c r="H47" s="35"/>
      <c r="I47" s="36"/>
      <c r="J47" s="85"/>
      <c r="S47" s="35"/>
    </row>
    <row r="48" spans="2:25" x14ac:dyDescent="0.25">
      <c r="B48" s="35">
        <v>14.25</v>
      </c>
      <c r="C48" s="123">
        <v>0</v>
      </c>
      <c r="D48" s="36">
        <v>8.1091708499999998E-2</v>
      </c>
      <c r="E48" s="36">
        <v>-3.1084959999999998E-2</v>
      </c>
      <c r="F48" s="35"/>
      <c r="G48" s="35"/>
      <c r="H48" s="35"/>
      <c r="I48" s="36"/>
      <c r="J48" s="85"/>
      <c r="S48" s="35"/>
    </row>
    <row r="49" spans="2:19" x14ac:dyDescent="0.25">
      <c r="B49" s="35">
        <v>14.5</v>
      </c>
      <c r="C49" s="123">
        <v>0</v>
      </c>
      <c r="D49" s="36">
        <v>8.6980967800000003E-2</v>
      </c>
      <c r="E49" s="36">
        <v>-3.122463E-2</v>
      </c>
      <c r="F49" s="35"/>
      <c r="G49" s="35"/>
      <c r="H49" s="35"/>
      <c r="I49" s="36"/>
      <c r="J49" s="85"/>
      <c r="S49" s="35"/>
    </row>
    <row r="50" spans="2:19" x14ac:dyDescent="0.25">
      <c r="B50" s="35">
        <v>14.75</v>
      </c>
      <c r="C50" s="123">
        <v>0</v>
      </c>
      <c r="D50" s="36">
        <v>9.2535620900000004E-2</v>
      </c>
      <c r="E50" s="36">
        <v>-3.1384790000000003E-2</v>
      </c>
      <c r="F50" s="35"/>
      <c r="G50" s="35"/>
      <c r="H50" s="35"/>
      <c r="I50" s="36"/>
      <c r="J50" s="85"/>
      <c r="S50" s="35"/>
    </row>
    <row r="51" spans="2:19" x14ac:dyDescent="0.25">
      <c r="B51" s="35">
        <v>15</v>
      </c>
      <c r="C51" s="123">
        <v>0</v>
      </c>
      <c r="D51" s="36">
        <v>9.7746308200000007E-2</v>
      </c>
      <c r="E51" s="36">
        <v>-3.156751E-2</v>
      </c>
      <c r="F51" s="35"/>
      <c r="G51" s="35"/>
      <c r="H51" s="35"/>
      <c r="I51" s="36"/>
      <c r="J51" s="85"/>
      <c r="S51" s="35"/>
    </row>
    <row r="52" spans="2:19" x14ac:dyDescent="0.25">
      <c r="B52" s="35">
        <v>15.25</v>
      </c>
      <c r="C52" s="123">
        <v>0</v>
      </c>
      <c r="D52" s="36">
        <v>0.1026062529</v>
      </c>
      <c r="E52" s="36">
        <v>-3.1774919999999998E-2</v>
      </c>
      <c r="F52" s="35"/>
      <c r="G52" s="35"/>
      <c r="H52" s="35"/>
      <c r="I52" s="36"/>
      <c r="J52" s="85"/>
      <c r="S52" s="35"/>
    </row>
    <row r="53" spans="2:19" x14ac:dyDescent="0.25">
      <c r="B53" s="35">
        <v>15.5</v>
      </c>
      <c r="C53" s="123">
        <v>0</v>
      </c>
      <c r="D53" s="36">
        <v>0.1071107555</v>
      </c>
      <c r="E53" s="36">
        <v>-3.2010169999999998E-2</v>
      </c>
      <c r="F53" s="35"/>
      <c r="G53" s="35"/>
      <c r="H53" s="35"/>
      <c r="I53" s="36"/>
      <c r="J53" s="85"/>
      <c r="S53" s="35"/>
    </row>
    <row r="54" spans="2:19" x14ac:dyDescent="0.25">
      <c r="B54" s="35">
        <v>15.75</v>
      </c>
      <c r="C54" s="123">
        <v>0</v>
      </c>
      <c r="D54" s="36">
        <v>0.1112626384</v>
      </c>
      <c r="E54" s="36">
        <v>-3.2274860000000002E-2</v>
      </c>
      <c r="F54" s="35"/>
      <c r="G54" s="35"/>
      <c r="H54" s="35"/>
      <c r="I54" s="36"/>
      <c r="J54" s="85"/>
      <c r="S54" s="35"/>
    </row>
    <row r="55" spans="2:19" x14ac:dyDescent="0.25">
      <c r="B55" s="35">
        <v>16</v>
      </c>
      <c r="C55" s="123">
        <v>0</v>
      </c>
      <c r="D55" s="36">
        <v>0.1150736627</v>
      </c>
      <c r="E55" s="36">
        <v>-3.2566409999999997E-2</v>
      </c>
      <c r="F55" s="35"/>
      <c r="G55" s="35"/>
      <c r="H55" s="35"/>
      <c r="I55" s="36"/>
      <c r="J55" s="85"/>
      <c r="S55" s="35"/>
    </row>
    <row r="56" spans="2:19" x14ac:dyDescent="0.25">
      <c r="B56" s="35">
        <v>16.25</v>
      </c>
      <c r="C56" s="123">
        <v>0</v>
      </c>
      <c r="D56" s="36">
        <v>0.1185603377</v>
      </c>
      <c r="E56" s="36">
        <v>-3.2880729999999997E-2</v>
      </c>
      <c r="F56" s="35"/>
      <c r="G56" s="35"/>
      <c r="H56" s="35"/>
      <c r="I56" s="36"/>
      <c r="J56" s="85"/>
      <c r="S56" s="35"/>
    </row>
    <row r="57" spans="2:19" x14ac:dyDescent="0.25">
      <c r="B57" s="35">
        <v>16.5</v>
      </c>
      <c r="C57" s="123">
        <v>0</v>
      </c>
      <c r="D57" s="36">
        <v>0.1217469608</v>
      </c>
      <c r="E57" s="36">
        <v>-3.3212020000000002E-2</v>
      </c>
      <c r="F57" s="35"/>
      <c r="G57" s="35"/>
      <c r="H57" s="35"/>
      <c r="I57" s="36"/>
      <c r="J57" s="85"/>
      <c r="S57" s="35"/>
    </row>
    <row r="58" spans="2:19" x14ac:dyDescent="0.25">
      <c r="B58" s="35">
        <v>16.75</v>
      </c>
      <c r="C58" s="123">
        <v>0</v>
      </c>
      <c r="D58" s="36">
        <v>0.1246545748</v>
      </c>
      <c r="E58" s="36">
        <v>-3.3555429999999997E-2</v>
      </c>
      <c r="F58" s="35"/>
      <c r="G58" s="35"/>
      <c r="H58" s="35"/>
      <c r="I58" s="36"/>
      <c r="J58" s="85"/>
      <c r="S58" s="35"/>
    </row>
    <row r="59" spans="2:19" x14ac:dyDescent="0.25">
      <c r="B59" s="35">
        <v>17</v>
      </c>
      <c r="C59" s="123">
        <v>0</v>
      </c>
      <c r="D59" s="36">
        <v>0.1272977418</v>
      </c>
      <c r="E59" s="36">
        <v>-3.3908019999999997E-2</v>
      </c>
      <c r="F59" s="35"/>
      <c r="G59" s="35"/>
      <c r="H59" s="35"/>
      <c r="I59" s="36"/>
    </row>
    <row r="60" spans="2:19" x14ac:dyDescent="0.25">
      <c r="B60" s="35">
        <v>17.25</v>
      </c>
      <c r="C60" s="123">
        <v>0</v>
      </c>
      <c r="D60" s="36">
        <v>0.12969009970000001</v>
      </c>
      <c r="E60" s="36">
        <v>-3.4268270000000003E-2</v>
      </c>
      <c r="F60" s="35"/>
      <c r="G60" s="35"/>
      <c r="H60" s="35"/>
      <c r="I60" s="36"/>
    </row>
    <row r="61" spans="2:19" x14ac:dyDescent="0.25">
      <c r="B61" s="35">
        <v>17.5</v>
      </c>
      <c r="C61" s="123">
        <v>0</v>
      </c>
      <c r="D61" s="36">
        <v>0.13184684090000001</v>
      </c>
      <c r="E61" s="36">
        <v>-3.4635970000000002E-2</v>
      </c>
      <c r="F61" s="35"/>
      <c r="G61" s="35"/>
      <c r="H61" s="35"/>
      <c r="I61" s="36"/>
    </row>
    <row r="62" spans="2:19" x14ac:dyDescent="0.25">
      <c r="B62" s="35">
        <v>17.75</v>
      </c>
      <c r="C62" s="123">
        <v>0</v>
      </c>
      <c r="D62" s="36">
        <v>0.13378157460000001</v>
      </c>
      <c r="E62" s="36">
        <v>-3.5011849999999997E-2</v>
      </c>
      <c r="F62" s="35"/>
      <c r="G62" s="35"/>
      <c r="H62" s="35"/>
      <c r="I62" s="36"/>
    </row>
    <row r="63" spans="2:19" x14ac:dyDescent="0.25">
      <c r="B63" s="35">
        <v>18</v>
      </c>
      <c r="C63" s="123">
        <v>0</v>
      </c>
      <c r="D63" s="36">
        <v>0.13550752939999999</v>
      </c>
      <c r="E63" s="36">
        <v>-3.5396829999999997E-2</v>
      </c>
      <c r="F63" s="35"/>
      <c r="G63" s="35"/>
      <c r="H63" s="35"/>
      <c r="I63" s="36"/>
    </row>
    <row r="64" spans="2:19" x14ac:dyDescent="0.25">
      <c r="B64" s="35">
        <v>18.25</v>
      </c>
      <c r="C64" s="123">
        <v>0</v>
      </c>
      <c r="D64" s="36">
        <v>0.1370378408</v>
      </c>
      <c r="E64" s="36">
        <v>-3.5792280000000003E-2</v>
      </c>
      <c r="F64" s="35"/>
      <c r="G64" s="35"/>
      <c r="H64" s="35"/>
      <c r="I64" s="36"/>
    </row>
    <row r="65" spans="2:9" x14ac:dyDescent="0.25">
      <c r="B65" s="35">
        <v>18.5</v>
      </c>
      <c r="C65" s="123">
        <v>0</v>
      </c>
      <c r="D65" s="36">
        <v>0.13839012419999999</v>
      </c>
      <c r="E65" s="36">
        <v>-3.6200349999999999E-2</v>
      </c>
      <c r="F65" s="35"/>
      <c r="G65" s="35"/>
      <c r="H65" s="35"/>
      <c r="I65" s="36"/>
    </row>
    <row r="66" spans="2:9" x14ac:dyDescent="0.25">
      <c r="B66" s="35">
        <v>18.75</v>
      </c>
      <c r="C66" s="123">
        <v>0</v>
      </c>
      <c r="D66" s="36">
        <v>0.13958171220000001</v>
      </c>
      <c r="E66" s="36">
        <v>-3.6623969999999999E-2</v>
      </c>
      <c r="F66" s="35"/>
      <c r="G66" s="35"/>
      <c r="H66" s="35"/>
      <c r="I66" s="36"/>
    </row>
    <row r="67" spans="2:9" x14ac:dyDescent="0.25">
      <c r="B67" s="35">
        <v>19</v>
      </c>
      <c r="C67" s="123">
        <v>0</v>
      </c>
      <c r="D67" s="36">
        <v>0.14062829930000001</v>
      </c>
      <c r="E67" s="36">
        <v>-3.7066000000000002E-2</v>
      </c>
      <c r="F67" s="35"/>
      <c r="G67" s="35"/>
      <c r="H67" s="35"/>
      <c r="I67" s="36"/>
    </row>
    <row r="68" spans="2:9" x14ac:dyDescent="0.25">
      <c r="B68" s="35">
        <v>19.25</v>
      </c>
      <c r="C68" s="123">
        <v>0</v>
      </c>
      <c r="D68" s="36">
        <v>0.14154435509999999</v>
      </c>
      <c r="E68" s="36">
        <v>-3.7528560000000002E-2</v>
      </c>
      <c r="F68" s="35"/>
      <c r="G68" s="35"/>
      <c r="H68" s="35"/>
      <c r="I68" s="36"/>
    </row>
    <row r="69" spans="2:9" x14ac:dyDescent="0.25">
      <c r="B69" s="35">
        <v>19.5</v>
      </c>
      <c r="C69" s="123">
        <v>0</v>
      </c>
      <c r="D69" s="36">
        <v>0.14234427599999999</v>
      </c>
      <c r="E69" s="36">
        <v>-3.8012770000000001E-2</v>
      </c>
      <c r="F69" s="35"/>
      <c r="G69" s="35"/>
      <c r="H69" s="35"/>
      <c r="I69" s="36"/>
    </row>
    <row r="70" spans="2:9" x14ac:dyDescent="0.25">
      <c r="B70" s="35">
        <v>19.75</v>
      </c>
      <c r="C70" s="123">
        <v>0</v>
      </c>
      <c r="D70" s="36">
        <v>0.14304129939999999</v>
      </c>
      <c r="E70" s="36">
        <v>-3.8519909999999997E-2</v>
      </c>
      <c r="F70" s="35"/>
      <c r="G70" s="35"/>
      <c r="H70" s="35"/>
      <c r="I70" s="36"/>
    </row>
    <row r="71" spans="2:9" x14ac:dyDescent="0.25">
      <c r="B71" s="35">
        <v>20</v>
      </c>
      <c r="C71" s="123">
        <v>0</v>
      </c>
      <c r="D71" s="36">
        <v>0.14364741380000001</v>
      </c>
      <c r="E71" s="36">
        <v>-3.9051570000000001E-2</v>
      </c>
      <c r="F71" s="35"/>
      <c r="G71" s="35"/>
      <c r="H71" s="35"/>
      <c r="I71" s="36"/>
    </row>
    <row r="72" spans="2:9" x14ac:dyDescent="0.25">
      <c r="B72" s="35">
        <v>20.25</v>
      </c>
      <c r="C72" s="123">
        <v>0</v>
      </c>
      <c r="D72" s="36">
        <v>0.1441732003</v>
      </c>
      <c r="E72" s="36">
        <v>-3.9609159999999997E-2</v>
      </c>
      <c r="F72" s="35"/>
      <c r="G72" s="35"/>
      <c r="H72" s="35"/>
      <c r="I72" s="36"/>
    </row>
    <row r="73" spans="2:9" x14ac:dyDescent="0.25">
      <c r="B73" s="35">
        <v>20.5</v>
      </c>
      <c r="C73" s="123">
        <v>0</v>
      </c>
      <c r="D73" s="36">
        <v>0.14462548680000001</v>
      </c>
      <c r="E73" s="36">
        <v>-4.019267E-2</v>
      </c>
      <c r="F73" s="35"/>
      <c r="G73" s="35"/>
      <c r="H73" s="35"/>
      <c r="I73" s="36"/>
    </row>
    <row r="74" spans="2:9" x14ac:dyDescent="0.25">
      <c r="B74" s="35">
        <v>20.75</v>
      </c>
      <c r="C74" s="123">
        <v>0</v>
      </c>
      <c r="D74" s="36">
        <v>0.1450095626</v>
      </c>
      <c r="E74" s="36">
        <v>-4.0801240000000003E-2</v>
      </c>
      <c r="F74" s="35"/>
      <c r="G74" s="35"/>
      <c r="H74" s="35"/>
      <c r="I74" s="36"/>
    </row>
    <row r="75" spans="2:9" x14ac:dyDescent="0.25">
      <c r="B75" s="35">
        <v>21</v>
      </c>
      <c r="C75" s="123">
        <v>0</v>
      </c>
      <c r="D75" s="36">
        <v>0.1453302044</v>
      </c>
      <c r="E75" s="36">
        <v>-4.1433829999999998E-2</v>
      </c>
      <c r="F75" s="35"/>
      <c r="G75" s="35"/>
      <c r="H75" s="35"/>
      <c r="I75" s="36"/>
    </row>
    <row r="76" spans="2:9" x14ac:dyDescent="0.25">
      <c r="B76" s="35">
        <v>21.25</v>
      </c>
      <c r="C76" s="123">
        <v>0</v>
      </c>
      <c r="D76" s="36">
        <v>0.14559161919999999</v>
      </c>
      <c r="E76" s="36">
        <v>-4.209011E-2</v>
      </c>
      <c r="F76" s="35"/>
      <c r="G76" s="35"/>
      <c r="H76" s="35"/>
      <c r="I76" s="36"/>
    </row>
    <row r="77" spans="2:9" x14ac:dyDescent="0.25">
      <c r="B77" s="35">
        <v>21.5</v>
      </c>
      <c r="C77" s="123">
        <v>0</v>
      </c>
      <c r="D77" s="36">
        <v>0.14579618959999999</v>
      </c>
      <c r="E77" s="36">
        <v>-4.2771120000000003E-2</v>
      </c>
      <c r="F77" s="35"/>
      <c r="G77" s="35"/>
      <c r="H77" s="35"/>
      <c r="I77" s="36"/>
    </row>
    <row r="78" spans="2:9" x14ac:dyDescent="0.25">
      <c r="B78" s="35">
        <v>21.75</v>
      </c>
      <c r="C78" s="123">
        <v>0</v>
      </c>
      <c r="D78" s="36">
        <v>0.145945196</v>
      </c>
      <c r="E78" s="36">
        <v>-4.3478589999999998E-2</v>
      </c>
      <c r="F78" s="35"/>
      <c r="G78" s="35"/>
      <c r="H78" s="35"/>
      <c r="I78" s="36"/>
    </row>
    <row r="79" spans="2:9" x14ac:dyDescent="0.25">
      <c r="B79" s="35">
        <v>22</v>
      </c>
      <c r="C79" s="123">
        <v>0</v>
      </c>
      <c r="D79" s="36">
        <v>0.14603909679999999</v>
      </c>
      <c r="E79" s="36">
        <v>-4.4213950000000002E-2</v>
      </c>
      <c r="F79" s="35"/>
      <c r="G79" s="35"/>
      <c r="H79" s="35"/>
      <c r="I79" s="36"/>
    </row>
    <row r="80" spans="2:9" x14ac:dyDescent="0.25">
      <c r="B80" s="35">
        <v>22.25</v>
      </c>
      <c r="C80" s="123">
        <v>0</v>
      </c>
      <c r="D80" s="36">
        <v>0.14607811849999999</v>
      </c>
      <c r="E80" s="36">
        <v>-4.4978259999999999E-2</v>
      </c>
      <c r="F80" s="35"/>
      <c r="G80" s="35"/>
      <c r="H80" s="35"/>
      <c r="I80" s="36"/>
    </row>
    <row r="81" spans="2:9" x14ac:dyDescent="0.25">
      <c r="B81" s="35">
        <v>22.5</v>
      </c>
      <c r="C81" s="123">
        <v>0</v>
      </c>
      <c r="D81" s="36">
        <v>0.14606246019999999</v>
      </c>
      <c r="E81" s="36">
        <v>-4.5771260000000001E-2</v>
      </c>
      <c r="F81" s="35"/>
      <c r="G81" s="35"/>
      <c r="H81" s="35"/>
      <c r="I81" s="36"/>
    </row>
    <row r="82" spans="2:9" x14ac:dyDescent="0.25">
      <c r="B82" s="35">
        <v>22.75</v>
      </c>
      <c r="C82" s="123">
        <v>0</v>
      </c>
      <c r="D82" s="36">
        <v>0.1459927318</v>
      </c>
      <c r="E82" s="36">
        <v>-4.659166E-2</v>
      </c>
      <c r="F82" s="35"/>
      <c r="G82" s="35"/>
      <c r="H82" s="35"/>
      <c r="I82" s="36"/>
    </row>
    <row r="83" spans="2:9" x14ac:dyDescent="0.25">
      <c r="B83" s="35">
        <v>23</v>
      </c>
      <c r="C83" s="123">
        <v>0</v>
      </c>
      <c r="D83" s="36">
        <v>0.1458701852</v>
      </c>
      <c r="E83" s="36">
        <v>-4.7437899999999998E-2</v>
      </c>
      <c r="F83" s="35"/>
      <c r="G83" s="35"/>
      <c r="H83" s="35"/>
      <c r="I83" s="36"/>
    </row>
    <row r="84" spans="2:9" x14ac:dyDescent="0.25">
      <c r="B84" s="35">
        <v>23.25</v>
      </c>
      <c r="C84" s="123">
        <v>0</v>
      </c>
      <c r="D84" s="36">
        <v>0.14569764269999999</v>
      </c>
      <c r="E84" s="36">
        <v>-4.8308570000000002E-2</v>
      </c>
      <c r="F84" s="35"/>
      <c r="G84" s="35"/>
      <c r="H84" s="35"/>
      <c r="I84" s="36"/>
    </row>
    <row r="85" spans="2:9" x14ac:dyDescent="0.25">
      <c r="B85" s="35">
        <v>23.5</v>
      </c>
      <c r="C85" s="123">
        <v>0</v>
      </c>
      <c r="D85" s="36">
        <v>0.14548093100000001</v>
      </c>
      <c r="E85" s="36">
        <v>-4.9202940000000001E-2</v>
      </c>
      <c r="F85" s="35"/>
      <c r="G85" s="35"/>
      <c r="H85" s="35"/>
      <c r="I85" s="36"/>
    </row>
    <row r="86" spans="2:9" x14ac:dyDescent="0.25">
      <c r="B86" s="35">
        <v>23.75</v>
      </c>
      <c r="C86" s="123">
        <v>0</v>
      </c>
      <c r="D86" s="36">
        <v>0.14522689720000001</v>
      </c>
      <c r="E86" s="36">
        <v>-5.0120199999999997E-2</v>
      </c>
      <c r="F86" s="35"/>
      <c r="G86" s="35"/>
      <c r="H86" s="35"/>
      <c r="I86" s="36"/>
    </row>
    <row r="87" spans="2:9" x14ac:dyDescent="0.25">
      <c r="B87" s="35">
        <v>24</v>
      </c>
      <c r="C87" s="123">
        <v>0</v>
      </c>
      <c r="D87" s="36">
        <v>0.14494284460000001</v>
      </c>
      <c r="E87" s="36">
        <v>-5.1059229999999997E-2</v>
      </c>
      <c r="F87" s="35"/>
      <c r="G87" s="35"/>
      <c r="H87" s="35"/>
      <c r="I87" s="36"/>
    </row>
    <row r="88" spans="2:9" x14ac:dyDescent="0.25">
      <c r="B88" s="35">
        <v>24.25</v>
      </c>
      <c r="C88" s="123">
        <v>0</v>
      </c>
      <c r="D88" s="36">
        <v>0.1446357939</v>
      </c>
      <c r="E88" s="36">
        <v>-5.2018799999999997E-2</v>
      </c>
      <c r="F88" s="35"/>
      <c r="G88" s="35"/>
      <c r="H88" s="35"/>
      <c r="I88" s="36"/>
    </row>
    <row r="89" spans="2:9" x14ac:dyDescent="0.25">
      <c r="B89" s="35">
        <v>24.5</v>
      </c>
      <c r="C89" s="123">
        <v>0</v>
      </c>
      <c r="D89" s="36">
        <v>0.14431095920000001</v>
      </c>
      <c r="E89" s="36">
        <v>-5.299765E-2</v>
      </c>
      <c r="F89" s="35"/>
      <c r="G89" s="35"/>
      <c r="H89" s="35"/>
      <c r="I89" s="36"/>
    </row>
    <row r="90" spans="2:9" x14ac:dyDescent="0.25">
      <c r="B90" s="35">
        <v>24.75</v>
      </c>
      <c r="C90" s="123">
        <v>0</v>
      </c>
      <c r="D90" s="36">
        <v>0.14397305669999999</v>
      </c>
      <c r="E90" s="36">
        <v>-5.3994649999999998E-2</v>
      </c>
      <c r="F90" s="35"/>
      <c r="G90" s="35"/>
      <c r="H90" s="35"/>
      <c r="I90" s="36"/>
    </row>
    <row r="91" spans="2:9" x14ac:dyDescent="0.25">
      <c r="B91" s="35">
        <v>25</v>
      </c>
      <c r="C91" s="123">
        <v>0</v>
      </c>
      <c r="D91" s="36">
        <v>0.14362672409999999</v>
      </c>
      <c r="E91" s="36">
        <v>-5.5008120000000001E-2</v>
      </c>
      <c r="F91" s="35"/>
      <c r="G91" s="35"/>
      <c r="H91" s="35"/>
      <c r="I91" s="36"/>
    </row>
    <row r="92" spans="2:9" x14ac:dyDescent="0.25">
      <c r="B92" s="35">
        <v>25.25</v>
      </c>
      <c r="C92" s="123">
        <v>0</v>
      </c>
      <c r="D92" s="36">
        <v>0.14327551590000001</v>
      </c>
      <c r="E92" s="36">
        <v>-5.6036420000000003E-2</v>
      </c>
      <c r="F92" s="35"/>
      <c r="G92" s="35"/>
      <c r="H92" s="35"/>
      <c r="I92" s="36"/>
    </row>
    <row r="93" spans="2:9" x14ac:dyDescent="0.25">
      <c r="B93" s="35">
        <v>25.5</v>
      </c>
      <c r="C93" s="123">
        <v>0</v>
      </c>
      <c r="D93" s="36">
        <v>0.14292155579999999</v>
      </c>
      <c r="E93" s="36">
        <v>-5.707827E-2</v>
      </c>
      <c r="F93" s="35"/>
      <c r="G93" s="35"/>
      <c r="H93" s="35"/>
      <c r="I93" s="36"/>
    </row>
    <row r="94" spans="2:9" x14ac:dyDescent="0.25">
      <c r="B94" s="35">
        <v>25.75</v>
      </c>
      <c r="C94" s="123">
        <v>0</v>
      </c>
      <c r="D94" s="36">
        <v>0.1425663616</v>
      </c>
      <c r="E94" s="36">
        <v>-5.81326E-2</v>
      </c>
      <c r="F94" s="35"/>
      <c r="G94" s="35"/>
      <c r="H94" s="35"/>
      <c r="I94" s="36"/>
    </row>
    <row r="95" spans="2:9" x14ac:dyDescent="0.25">
      <c r="B95" s="35">
        <v>26</v>
      </c>
      <c r="C95" s="123">
        <v>0</v>
      </c>
      <c r="D95" s="36">
        <v>0.14221136600000001</v>
      </c>
      <c r="E95" s="36">
        <v>-5.9198399999999998E-2</v>
      </c>
      <c r="F95" s="35"/>
      <c r="G95" s="35"/>
      <c r="H95" s="35"/>
      <c r="I95" s="36"/>
    </row>
    <row r="96" spans="2:9" x14ac:dyDescent="0.25">
      <c r="B96" s="35">
        <v>26.25</v>
      </c>
      <c r="C96" s="123">
        <v>0</v>
      </c>
      <c r="D96" s="36">
        <v>0.14185710779999999</v>
      </c>
      <c r="E96" s="36">
        <v>-6.027474E-2</v>
      </c>
      <c r="F96" s="35"/>
      <c r="G96" s="35"/>
      <c r="H96" s="35"/>
      <c r="I96" s="36"/>
    </row>
    <row r="97" spans="2:9" x14ac:dyDescent="0.25">
      <c r="B97" s="35">
        <v>26.5</v>
      </c>
      <c r="C97" s="123">
        <v>0</v>
      </c>
      <c r="D97" s="36">
        <v>0.1415007536</v>
      </c>
      <c r="E97" s="36">
        <v>-6.1359770000000001E-2</v>
      </c>
      <c r="F97" s="35"/>
      <c r="G97" s="35"/>
      <c r="H97" s="35"/>
      <c r="I97" s="36"/>
    </row>
    <row r="98" spans="2:9" x14ac:dyDescent="0.25">
      <c r="B98" s="35">
        <v>26.75</v>
      </c>
      <c r="C98" s="123">
        <v>0</v>
      </c>
      <c r="D98" s="36">
        <v>0.14113956420000001</v>
      </c>
      <c r="E98" s="36">
        <v>-6.2451310000000003E-2</v>
      </c>
      <c r="F98" s="35"/>
      <c r="G98" s="35"/>
      <c r="H98" s="35"/>
      <c r="I98" s="36"/>
    </row>
    <row r="99" spans="2:9" x14ac:dyDescent="0.25">
      <c r="B99" s="35">
        <v>27</v>
      </c>
      <c r="C99" s="123">
        <v>0</v>
      </c>
      <c r="D99" s="36">
        <v>0.1407715964</v>
      </c>
      <c r="E99" s="36">
        <v>-6.3547329999999999E-2</v>
      </c>
      <c r="F99" s="35"/>
      <c r="G99" s="35"/>
      <c r="H99" s="35"/>
      <c r="I99" s="36"/>
    </row>
    <row r="100" spans="2:9" x14ac:dyDescent="0.25">
      <c r="B100" s="35">
        <v>27.25</v>
      </c>
      <c r="C100" s="123">
        <v>0</v>
      </c>
      <c r="D100" s="36">
        <v>0.14039513510000001</v>
      </c>
      <c r="E100" s="36">
        <v>-6.4646319999999993E-2</v>
      </c>
      <c r="F100" s="35"/>
      <c r="G100" s="35"/>
      <c r="H100" s="35"/>
      <c r="I100" s="36"/>
    </row>
    <row r="101" spans="2:9" x14ac:dyDescent="0.25">
      <c r="B101" s="35">
        <v>27.5</v>
      </c>
      <c r="C101" s="123">
        <v>0</v>
      </c>
      <c r="D101" s="36">
        <v>0.14000838569999999</v>
      </c>
      <c r="E101" s="36">
        <v>-6.5747570000000005E-2</v>
      </c>
      <c r="F101" s="35"/>
      <c r="G101" s="35"/>
      <c r="H101" s="35"/>
      <c r="I101" s="36"/>
    </row>
    <row r="102" spans="2:9" x14ac:dyDescent="0.25">
      <c r="B102" s="35">
        <v>27.75</v>
      </c>
      <c r="C102" s="123">
        <v>0</v>
      </c>
      <c r="D102" s="36">
        <v>0.13961004630000001</v>
      </c>
      <c r="E102" s="36">
        <v>-6.6850350000000003E-2</v>
      </c>
      <c r="F102" s="35"/>
      <c r="G102" s="35"/>
      <c r="H102" s="35"/>
      <c r="I102" s="36"/>
    </row>
    <row r="103" spans="2:9" x14ac:dyDescent="0.25">
      <c r="B103" s="35">
        <v>28</v>
      </c>
      <c r="C103" s="123">
        <v>0</v>
      </c>
      <c r="D103" s="36">
        <v>0.13919976040000001</v>
      </c>
      <c r="E103" s="36">
        <v>-6.7953769999999997E-2</v>
      </c>
      <c r="F103" s="35"/>
      <c r="G103" s="35"/>
      <c r="H103" s="35"/>
      <c r="I103" s="36"/>
    </row>
    <row r="104" spans="2:9" x14ac:dyDescent="0.25">
      <c r="B104" s="35">
        <v>28.25</v>
      </c>
      <c r="C104" s="123">
        <v>0</v>
      </c>
      <c r="D104" s="36">
        <v>0.13877782520000001</v>
      </c>
      <c r="E104" s="36">
        <v>-6.9056619999999999E-2</v>
      </c>
      <c r="F104" s="35"/>
      <c r="G104" s="35"/>
      <c r="H104" s="35"/>
      <c r="I104" s="36"/>
    </row>
    <row r="105" spans="2:9" x14ac:dyDescent="0.25">
      <c r="B105" s="35">
        <v>28.5</v>
      </c>
      <c r="C105" s="123">
        <v>0</v>
      </c>
      <c r="D105" s="36">
        <v>0.13834405960000001</v>
      </c>
      <c r="E105" s="36">
        <v>-7.0157579999999997E-2</v>
      </c>
      <c r="F105" s="35"/>
      <c r="G105" s="35"/>
      <c r="H105" s="35"/>
      <c r="I105" s="36"/>
    </row>
    <row r="106" spans="2:9" x14ac:dyDescent="0.25">
      <c r="B106" s="35">
        <v>28.75</v>
      </c>
      <c r="C106" s="123">
        <v>0</v>
      </c>
      <c r="D106" s="36">
        <v>0.1378984234</v>
      </c>
      <c r="E106" s="36">
        <v>-7.1255429999999995E-2</v>
      </c>
      <c r="F106" s="35"/>
      <c r="G106" s="35"/>
      <c r="H106" s="35"/>
      <c r="I106" s="36"/>
    </row>
    <row r="107" spans="2:9" x14ac:dyDescent="0.25">
      <c r="B107" s="35">
        <v>29</v>
      </c>
      <c r="C107" s="123">
        <v>0</v>
      </c>
      <c r="D107" s="36">
        <v>0.1374412928</v>
      </c>
      <c r="E107" s="36">
        <v>-7.2349049999999998E-2</v>
      </c>
      <c r="F107" s="35"/>
      <c r="G107" s="35"/>
      <c r="H107" s="35"/>
      <c r="I107" s="36"/>
    </row>
    <row r="108" spans="2:9" x14ac:dyDescent="0.25">
      <c r="B108" s="35">
        <v>29.25</v>
      </c>
      <c r="C108" s="123">
        <v>0</v>
      </c>
      <c r="D108" s="36">
        <v>0.13697303769999999</v>
      </c>
      <c r="E108" s="36">
        <v>-7.3437230000000006E-2</v>
      </c>
      <c r="F108" s="35"/>
      <c r="G108" s="35"/>
      <c r="H108" s="35"/>
      <c r="I108" s="36"/>
    </row>
    <row r="109" spans="2:9" x14ac:dyDescent="0.25">
      <c r="B109" s="35">
        <v>29.5</v>
      </c>
      <c r="C109" s="123">
        <v>0</v>
      </c>
      <c r="D109" s="36">
        <v>0.1364928678</v>
      </c>
      <c r="E109" s="36">
        <v>-7.4518609999999999E-2</v>
      </c>
      <c r="F109" s="35"/>
      <c r="G109" s="35"/>
      <c r="H109" s="35"/>
      <c r="I109" s="36"/>
    </row>
    <row r="110" spans="2:9" x14ac:dyDescent="0.25">
      <c r="B110" s="35">
        <v>29.75</v>
      </c>
      <c r="C110" s="123">
        <v>0</v>
      </c>
      <c r="D110" s="36">
        <v>0.1360000247</v>
      </c>
      <c r="E110" s="36">
        <v>-7.559196E-2</v>
      </c>
      <c r="F110" s="35"/>
      <c r="G110" s="35"/>
      <c r="H110" s="35"/>
      <c r="I110" s="36"/>
    </row>
    <row r="111" spans="2:9" x14ac:dyDescent="0.25">
      <c r="B111" s="35">
        <v>30</v>
      </c>
      <c r="C111" s="123">
        <v>0</v>
      </c>
      <c r="D111" s="36">
        <v>0.13549428099999999</v>
      </c>
      <c r="E111" s="36">
        <v>-7.665611E-2</v>
      </c>
      <c r="F111" s="35"/>
      <c r="G111" s="35"/>
      <c r="H111" s="35"/>
      <c r="I111" s="36"/>
    </row>
    <row r="112" spans="2:9" x14ac:dyDescent="0.25">
      <c r="B112" s="35">
        <v>30.25</v>
      </c>
      <c r="C112" s="123">
        <v>0</v>
      </c>
      <c r="D112" s="36">
        <v>0.13497550459999999</v>
      </c>
      <c r="E112" s="36">
        <v>-7.7709760000000003E-2</v>
      </c>
      <c r="F112" s="35"/>
      <c r="G112" s="35"/>
      <c r="H112" s="35"/>
      <c r="I112" s="36"/>
    </row>
    <row r="113" spans="2:9" x14ac:dyDescent="0.25">
      <c r="B113" s="35">
        <v>30.5</v>
      </c>
      <c r="C113" s="123">
        <v>0</v>
      </c>
      <c r="D113" s="36">
        <v>0.13444270229999999</v>
      </c>
      <c r="E113" s="36">
        <v>-7.8751470000000004E-2</v>
      </c>
      <c r="F113" s="35"/>
      <c r="G113" s="35"/>
      <c r="H113" s="35"/>
      <c r="I113" s="36"/>
    </row>
    <row r="114" spans="2:9" x14ac:dyDescent="0.25">
      <c r="B114" s="35">
        <v>30.75</v>
      </c>
      <c r="C114" s="123">
        <v>0</v>
      </c>
      <c r="D114" s="36">
        <v>0.1338946201</v>
      </c>
      <c r="E114" s="36">
        <v>-7.9779870000000003E-2</v>
      </c>
      <c r="F114" s="35"/>
      <c r="G114" s="35"/>
      <c r="H114" s="35"/>
      <c r="I114" s="36"/>
    </row>
    <row r="115" spans="2:9" x14ac:dyDescent="0.25">
      <c r="B115" s="35">
        <v>31</v>
      </c>
      <c r="C115" s="123">
        <v>0</v>
      </c>
      <c r="D115" s="36">
        <v>0.13333025579999999</v>
      </c>
      <c r="E115" s="36">
        <v>-8.0793710000000005E-2</v>
      </c>
      <c r="F115" s="35"/>
      <c r="G115" s="35"/>
      <c r="H115" s="35"/>
      <c r="I115" s="36"/>
    </row>
    <row r="116" spans="2:9" x14ac:dyDescent="0.25">
      <c r="B116" s="35">
        <v>31.25</v>
      </c>
      <c r="C116" s="123">
        <v>0</v>
      </c>
      <c r="D116" s="36">
        <v>0.13274839869999999</v>
      </c>
      <c r="E116" s="36">
        <v>-8.1791950000000002E-2</v>
      </c>
      <c r="F116" s="35"/>
      <c r="G116" s="35"/>
      <c r="H116" s="35"/>
      <c r="I116" s="36"/>
    </row>
    <row r="117" spans="2:9" x14ac:dyDescent="0.25">
      <c r="B117" s="35">
        <v>31.5</v>
      </c>
      <c r="C117" s="123">
        <v>0</v>
      </c>
      <c r="D117" s="36">
        <v>0.13214692680000001</v>
      </c>
      <c r="E117" s="36">
        <v>-8.2773570000000005E-2</v>
      </c>
      <c r="F117" s="35"/>
      <c r="G117" s="35"/>
      <c r="H117" s="35"/>
      <c r="I117" s="36"/>
    </row>
    <row r="118" spans="2:9" x14ac:dyDescent="0.25">
      <c r="B118" s="35">
        <v>31.75</v>
      </c>
      <c r="C118" s="123">
        <v>0</v>
      </c>
      <c r="D118" s="36">
        <v>0.13152400929999999</v>
      </c>
      <c r="E118" s="36">
        <v>-8.3737519999999996E-2</v>
      </c>
      <c r="F118" s="35"/>
      <c r="G118" s="35"/>
      <c r="H118" s="35"/>
      <c r="I118" s="36"/>
    </row>
    <row r="119" spans="2:9" x14ac:dyDescent="0.25">
      <c r="B119" s="35">
        <v>32</v>
      </c>
      <c r="C119" s="123">
        <v>0</v>
      </c>
      <c r="D119" s="36">
        <v>0.1308780759</v>
      </c>
      <c r="E119" s="36">
        <v>-8.4682839999999995E-2</v>
      </c>
      <c r="F119" s="35"/>
      <c r="G119" s="35"/>
      <c r="H119" s="35"/>
      <c r="I119" s="36"/>
    </row>
    <row r="120" spans="2:9" x14ac:dyDescent="0.25">
      <c r="B120" s="35">
        <v>32.25</v>
      </c>
      <c r="C120" s="123">
        <v>0</v>
      </c>
      <c r="D120" s="36">
        <v>0.13020790139999999</v>
      </c>
      <c r="E120" s="36">
        <v>-8.5608580000000004E-2</v>
      </c>
      <c r="F120" s="35"/>
      <c r="G120" s="35"/>
      <c r="H120" s="35"/>
      <c r="I120" s="36"/>
    </row>
    <row r="121" spans="2:9" x14ac:dyDescent="0.25">
      <c r="B121" s="35">
        <v>32.5</v>
      </c>
      <c r="C121" s="123">
        <v>0</v>
      </c>
      <c r="D121" s="36">
        <v>0.12951267320000001</v>
      </c>
      <c r="E121" s="36">
        <v>-8.6513809999999997E-2</v>
      </c>
      <c r="F121" s="35"/>
      <c r="G121" s="35"/>
      <c r="H121" s="35"/>
      <c r="I121" s="36"/>
    </row>
    <row r="122" spans="2:9" x14ac:dyDescent="0.25">
      <c r="B122" s="35">
        <v>32.75</v>
      </c>
      <c r="C122" s="123">
        <v>0</v>
      </c>
      <c r="D122" s="36">
        <v>0.1287919921</v>
      </c>
      <c r="E122" s="36">
        <v>-8.7397600000000006E-2</v>
      </c>
      <c r="F122" s="35"/>
      <c r="G122" s="35"/>
      <c r="H122" s="35"/>
      <c r="I122" s="36"/>
    </row>
    <row r="123" spans="2:9" x14ac:dyDescent="0.25">
      <c r="B123" s="35">
        <v>33</v>
      </c>
      <c r="C123" s="123">
        <v>0</v>
      </c>
      <c r="D123" s="36">
        <v>0.12804587000000001</v>
      </c>
      <c r="E123" s="36">
        <v>-8.8258890000000007E-2</v>
      </c>
      <c r="F123" s="35"/>
      <c r="G123" s="35"/>
      <c r="H123" s="35"/>
      <c r="I123" s="36"/>
    </row>
    <row r="124" spans="2:9" x14ac:dyDescent="0.25">
      <c r="B124" s="35">
        <v>33.25</v>
      </c>
      <c r="C124" s="123">
        <v>0</v>
      </c>
      <c r="D124" s="36">
        <v>0.12727440379999999</v>
      </c>
      <c r="E124" s="36">
        <v>-8.9096549999999997E-2</v>
      </c>
      <c r="F124" s="35"/>
      <c r="G124" s="35"/>
      <c r="H124" s="35"/>
      <c r="I124" s="36"/>
    </row>
    <row r="125" spans="2:9" x14ac:dyDescent="0.25">
      <c r="B125" s="35">
        <v>33.5</v>
      </c>
      <c r="C125" s="123">
        <v>0</v>
      </c>
      <c r="D125" s="36">
        <v>0.12647781159999999</v>
      </c>
      <c r="E125" s="36">
        <v>-8.9908959999999996E-2</v>
      </c>
      <c r="F125" s="35"/>
      <c r="G125" s="35"/>
      <c r="H125" s="35"/>
      <c r="I125" s="36"/>
    </row>
    <row r="126" spans="2:9" x14ac:dyDescent="0.25">
      <c r="B126" s="35">
        <v>33.75</v>
      </c>
      <c r="C126" s="123">
        <v>0</v>
      </c>
      <c r="D126" s="36">
        <v>0.12565655179999999</v>
      </c>
      <c r="E126" s="36">
        <v>-9.0694520000000001E-2</v>
      </c>
      <c r="F126" s="35"/>
      <c r="G126" s="35"/>
      <c r="H126" s="35"/>
      <c r="I126" s="36"/>
    </row>
    <row r="127" spans="2:9" x14ac:dyDescent="0.25">
      <c r="B127" s="35">
        <v>34</v>
      </c>
      <c r="C127" s="123">
        <v>0</v>
      </c>
      <c r="D127" s="36">
        <v>0.1248113733</v>
      </c>
      <c r="E127" s="36">
        <v>-9.1451669999999999E-2</v>
      </c>
      <c r="F127" s="35"/>
      <c r="G127" s="35"/>
      <c r="H127" s="35"/>
      <c r="I127" s="36"/>
    </row>
    <row r="128" spans="2:9" x14ac:dyDescent="0.25">
      <c r="B128" s="35">
        <v>34.25</v>
      </c>
      <c r="C128" s="123">
        <v>0</v>
      </c>
      <c r="D128" s="36">
        <v>0.123943311</v>
      </c>
      <c r="E128" s="36">
        <v>-9.2178689999999994E-2</v>
      </c>
      <c r="F128" s="35"/>
      <c r="G128" s="35"/>
      <c r="H128" s="35"/>
      <c r="I128" s="36"/>
    </row>
    <row r="129" spans="2:10" x14ac:dyDescent="0.25">
      <c r="B129" s="35">
        <v>34.5</v>
      </c>
      <c r="C129" s="123">
        <v>0</v>
      </c>
      <c r="D129" s="36">
        <v>0.1230524783</v>
      </c>
      <c r="E129" s="36">
        <v>-9.2873339999999999E-2</v>
      </c>
      <c r="F129" s="35"/>
      <c r="G129" s="35"/>
      <c r="H129" s="35"/>
      <c r="I129" s="36"/>
    </row>
    <row r="130" spans="2:10" x14ac:dyDescent="0.25">
      <c r="B130" s="35">
        <v>34.75</v>
      </c>
      <c r="C130" s="123">
        <v>0</v>
      </c>
      <c r="D130" s="36">
        <v>0.1221390863</v>
      </c>
      <c r="E130" s="36">
        <v>-9.3533290000000005E-2</v>
      </c>
      <c r="F130" s="35"/>
      <c r="G130" s="35"/>
      <c r="H130" s="35"/>
      <c r="I130" s="36"/>
    </row>
    <row r="131" spans="2:10" x14ac:dyDescent="0.25">
      <c r="B131" s="35">
        <v>35</v>
      </c>
      <c r="C131" s="123">
        <v>0</v>
      </c>
      <c r="D131" s="36">
        <v>0.12120356409999999</v>
      </c>
      <c r="E131" s="36">
        <v>-9.4156329999999996E-2</v>
      </c>
      <c r="F131" s="35"/>
      <c r="G131" s="35"/>
      <c r="H131" s="35"/>
      <c r="I131" s="36"/>
    </row>
    <row r="132" spans="2:10" x14ac:dyDescent="0.25">
      <c r="B132" s="35">
        <v>35.25</v>
      </c>
      <c r="C132" s="123">
        <v>0</v>
      </c>
      <c r="D132" s="36">
        <v>0.1202464001</v>
      </c>
      <c r="E132" s="36">
        <v>-9.4740249999999998E-2</v>
      </c>
      <c r="F132" s="35"/>
      <c r="G132" s="35"/>
      <c r="H132" s="35"/>
      <c r="I132" s="36"/>
    </row>
    <row r="133" spans="2:10" x14ac:dyDescent="0.25">
      <c r="B133" s="35">
        <v>35.5</v>
      </c>
      <c r="C133" s="123">
        <v>0</v>
      </c>
      <c r="D133" s="36">
        <v>0.1192670242</v>
      </c>
      <c r="E133" s="36">
        <v>-9.5282889999999995E-2</v>
      </c>
      <c r="F133" s="35"/>
      <c r="G133" s="35"/>
      <c r="H133" s="35"/>
      <c r="I133" s="36"/>
    </row>
    <row r="134" spans="2:10" x14ac:dyDescent="0.25">
      <c r="B134" s="35">
        <v>35.75</v>
      </c>
      <c r="C134" s="123">
        <v>0</v>
      </c>
      <c r="D134" s="36">
        <v>0.1182645257</v>
      </c>
      <c r="E134" s="36">
        <v>-9.5782270000000003E-2</v>
      </c>
      <c r="F134" s="35"/>
      <c r="G134" s="35"/>
      <c r="H134" s="35"/>
      <c r="I134" s="36"/>
    </row>
    <row r="135" spans="2:10" x14ac:dyDescent="0.25">
      <c r="B135" s="35">
        <v>36</v>
      </c>
      <c r="C135" s="123">
        <v>0</v>
      </c>
      <c r="D135" s="36">
        <v>0.1172380645</v>
      </c>
      <c r="E135" s="36">
        <v>-9.6236580000000002E-2</v>
      </c>
      <c r="F135" s="35"/>
      <c r="G135" s="35"/>
      <c r="H135" s="35"/>
      <c r="I135" s="36"/>
    </row>
    <row r="136" spans="2:10" ht="14.4" x14ac:dyDescent="0.3">
      <c r="B136" s="35">
        <v>36.25</v>
      </c>
      <c r="C136" s="123">
        <v>0</v>
      </c>
      <c r="D136" s="36">
        <v>0.1161870748</v>
      </c>
      <c r="E136" s="36">
        <v>-9.6644209999999994E-2</v>
      </c>
      <c r="F136" s="35"/>
      <c r="G136" s="35"/>
      <c r="H136" s="35"/>
      <c r="I136" s="114" t="s">
        <v>33</v>
      </c>
      <c r="J136" s="79" t="s">
        <v>34</v>
      </c>
    </row>
    <row r="137" spans="2:10" ht="14.4" x14ac:dyDescent="0.3">
      <c r="B137" s="35">
        <v>36.5</v>
      </c>
      <c r="C137" s="123">
        <v>0</v>
      </c>
      <c r="D137" s="36">
        <v>0.11511172209999999</v>
      </c>
      <c r="E137" s="36">
        <v>-9.7003740000000005E-2</v>
      </c>
      <c r="F137" s="35"/>
      <c r="G137" s="35"/>
      <c r="H137" s="79" t="s">
        <v>48</v>
      </c>
      <c r="I137" s="78">
        <v>0.10358504809999999</v>
      </c>
      <c r="J137" s="78">
        <v>-9.7911395999999998E-2</v>
      </c>
    </row>
    <row r="138" spans="2:10" ht="14.4" x14ac:dyDescent="0.3">
      <c r="B138" s="35">
        <v>36.75</v>
      </c>
      <c r="C138" s="123">
        <v>0</v>
      </c>
      <c r="D138" s="36">
        <v>0.1140124279</v>
      </c>
      <c r="E138" s="36">
        <v>-9.7313789999999997E-2</v>
      </c>
      <c r="F138" s="35"/>
      <c r="G138" s="35"/>
      <c r="H138" s="77">
        <v>39</v>
      </c>
      <c r="I138" s="78">
        <v>0.1022872314</v>
      </c>
      <c r="J138" s="78">
        <v>-9.7738715000000004E-2</v>
      </c>
    </row>
    <row r="139" spans="2:10" ht="14.4" x14ac:dyDescent="0.3">
      <c r="B139" s="35">
        <v>37</v>
      </c>
      <c r="C139" s="123">
        <v>0</v>
      </c>
      <c r="D139" s="36">
        <v>0.1128895888</v>
      </c>
      <c r="E139" s="36">
        <v>-9.7573119999999999E-2</v>
      </c>
      <c r="F139" s="35"/>
      <c r="G139" s="35"/>
      <c r="H139" s="77">
        <v>39.25</v>
      </c>
      <c r="I139" s="36"/>
    </row>
    <row r="140" spans="2:10" x14ac:dyDescent="0.25">
      <c r="B140" s="35">
        <v>37.25</v>
      </c>
      <c r="C140" s="123">
        <v>0</v>
      </c>
      <c r="D140" s="36">
        <v>0.1117436429</v>
      </c>
      <c r="E140" s="36">
        <v>-9.778075E-2</v>
      </c>
      <c r="F140" s="35"/>
      <c r="G140" s="35"/>
      <c r="H140" s="35"/>
      <c r="I140" s="36"/>
    </row>
    <row r="141" spans="2:10" x14ac:dyDescent="0.25">
      <c r="B141" s="35">
        <v>37.5</v>
      </c>
      <c r="C141" s="123">
        <v>0</v>
      </c>
      <c r="D141" s="36">
        <v>0.11057505049999999</v>
      </c>
      <c r="E141" s="36">
        <v>-9.7935949999999994E-2</v>
      </c>
      <c r="F141" s="35"/>
      <c r="G141" s="35"/>
      <c r="H141" s="35"/>
      <c r="I141" s="36"/>
    </row>
    <row r="142" spans="2:10" x14ac:dyDescent="0.25">
      <c r="B142" s="35">
        <v>37.75</v>
      </c>
      <c r="C142" s="123">
        <v>0</v>
      </c>
      <c r="D142" s="36">
        <v>0.10938428410000001</v>
      </c>
      <c r="E142" s="36">
        <v>-9.8038089999999994E-2</v>
      </c>
      <c r="F142" s="35"/>
      <c r="G142" s="35"/>
      <c r="H142" s="35"/>
      <c r="I142" s="36"/>
    </row>
    <row r="143" spans="2:10" x14ac:dyDescent="0.25">
      <c r="B143" s="35">
        <v>38</v>
      </c>
      <c r="C143" s="123">
        <v>0</v>
      </c>
      <c r="D143" s="36">
        <v>0.10817183380000001</v>
      </c>
      <c r="E143" s="36">
        <v>-9.8086580000000007E-2</v>
      </c>
      <c r="F143" s="35"/>
      <c r="G143" s="35"/>
      <c r="H143" s="35"/>
      <c r="I143" s="36"/>
    </row>
    <row r="144" spans="2:10" x14ac:dyDescent="0.25">
      <c r="B144" s="35">
        <v>38.25</v>
      </c>
      <c r="C144" s="123">
        <v>0</v>
      </c>
      <c r="D144" s="36">
        <v>0.1069379971</v>
      </c>
      <c r="E144" s="36">
        <v>-9.8080920000000002E-2</v>
      </c>
      <c r="F144" s="35"/>
      <c r="G144" s="35"/>
      <c r="H144" s="35"/>
      <c r="I144" s="36"/>
    </row>
    <row r="145" spans="2:9" x14ac:dyDescent="0.25">
      <c r="B145" s="35">
        <v>38.5</v>
      </c>
      <c r="C145" s="123">
        <v>0</v>
      </c>
      <c r="D145" s="36">
        <v>0.1056826474</v>
      </c>
      <c r="E145" s="36">
        <v>-9.8020919999999997E-2</v>
      </c>
      <c r="F145" s="35"/>
      <c r="G145" s="35"/>
      <c r="H145" s="35"/>
      <c r="I145" s="36"/>
    </row>
    <row r="146" spans="2:9" x14ac:dyDescent="0.25">
      <c r="B146" s="35">
        <v>38.75</v>
      </c>
      <c r="C146" s="123">
        <v>0</v>
      </c>
      <c r="D146" s="36">
        <v>0.1044056879</v>
      </c>
      <c r="E146" s="36">
        <v>-9.7906489999999999E-2</v>
      </c>
      <c r="F146" s="35"/>
      <c r="G146" s="35"/>
      <c r="H146" s="35"/>
      <c r="I146" s="36"/>
    </row>
    <row r="147" spans="2:9" x14ac:dyDescent="0.25">
      <c r="B147" s="35">
        <v>39</v>
      </c>
      <c r="C147" s="123">
        <v>0</v>
      </c>
      <c r="D147" s="36">
        <v>0.1031073091</v>
      </c>
      <c r="E147" s="36">
        <v>-9.7737599999999994E-2</v>
      </c>
      <c r="F147" s="35"/>
      <c r="G147" s="35"/>
      <c r="H147" s="35"/>
      <c r="I147" s="36"/>
    </row>
    <row r="148" spans="2:9" x14ac:dyDescent="0.25">
      <c r="B148" s="35">
        <v>39.25</v>
      </c>
      <c r="C148" s="123">
        <v>0</v>
      </c>
      <c r="D148" s="36">
        <v>0.1017877975</v>
      </c>
      <c r="E148" s="36">
        <v>-9.7514329999999996E-2</v>
      </c>
      <c r="F148" s="35"/>
      <c r="G148" s="35"/>
      <c r="H148" s="35"/>
      <c r="I148" s="36"/>
    </row>
    <row r="149" spans="2:9" x14ac:dyDescent="0.25">
      <c r="B149" s="35">
        <v>39.5</v>
      </c>
      <c r="C149" s="123">
        <v>0</v>
      </c>
      <c r="D149" s="36">
        <v>0.10044691209999999</v>
      </c>
      <c r="E149" s="36">
        <v>-9.7237000000000004E-2</v>
      </c>
      <c r="F149" s="35"/>
      <c r="G149" s="35"/>
      <c r="H149" s="35"/>
      <c r="I149" s="36"/>
    </row>
    <row r="150" spans="2:9" x14ac:dyDescent="0.25">
      <c r="B150" s="35">
        <v>39.75</v>
      </c>
      <c r="C150" s="123">
        <v>0</v>
      </c>
      <c r="D150" s="36">
        <v>9.9084338100000002E-2</v>
      </c>
      <c r="E150" s="36">
        <v>-9.6905980000000003E-2</v>
      </c>
      <c r="F150" s="35"/>
      <c r="G150" s="35"/>
      <c r="H150" s="35"/>
      <c r="I150" s="36"/>
    </row>
    <row r="151" spans="2:9" x14ac:dyDescent="0.25">
      <c r="B151" s="35">
        <v>40</v>
      </c>
      <c r="C151" s="123">
        <v>0</v>
      </c>
      <c r="D151" s="36">
        <v>9.7699940900000004E-2</v>
      </c>
      <c r="E151" s="36">
        <v>-9.6521739999999995E-2</v>
      </c>
      <c r="F151" s="35"/>
      <c r="G151" s="35"/>
      <c r="H151" s="35"/>
      <c r="I151" s="36"/>
    </row>
    <row r="152" spans="2:9" x14ac:dyDescent="0.25">
      <c r="B152" s="35">
        <v>40.25</v>
      </c>
      <c r="C152" s="123">
        <v>0</v>
      </c>
      <c r="D152" s="36">
        <v>9.6293603000000005E-2</v>
      </c>
      <c r="E152" s="36">
        <v>-9.6084799999999998E-2</v>
      </c>
      <c r="F152" s="35"/>
      <c r="G152" s="35"/>
      <c r="H152" s="35"/>
      <c r="I152" s="36"/>
    </row>
    <row r="153" spans="2:9" x14ac:dyDescent="0.25">
      <c r="B153" s="35">
        <v>40.5</v>
      </c>
      <c r="C153" s="123">
        <v>0</v>
      </c>
      <c r="D153" s="36">
        <v>9.4864826499999999E-2</v>
      </c>
      <c r="E153" s="36">
        <v>-9.5595890000000003E-2</v>
      </c>
      <c r="F153" s="35"/>
      <c r="G153" s="35"/>
      <c r="H153" s="35"/>
      <c r="I153" s="36"/>
    </row>
    <row r="154" spans="2:9" x14ac:dyDescent="0.25">
      <c r="B154" s="35">
        <v>40.75</v>
      </c>
      <c r="C154" s="123">
        <v>0</v>
      </c>
      <c r="D154" s="36">
        <v>9.3413429000000006E-2</v>
      </c>
      <c r="E154" s="36">
        <v>-9.5055630000000002E-2</v>
      </c>
      <c r="F154" s="35"/>
      <c r="G154" s="35"/>
      <c r="H154" s="35"/>
      <c r="I154" s="36"/>
    </row>
    <row r="155" spans="2:9" x14ac:dyDescent="0.25">
      <c r="B155" s="35">
        <v>41</v>
      </c>
      <c r="C155" s="123">
        <v>0</v>
      </c>
      <c r="D155" s="36">
        <v>9.1939588500000002E-2</v>
      </c>
      <c r="E155" s="36">
        <v>-9.4464619999999999E-2</v>
      </c>
      <c r="F155" s="35"/>
      <c r="G155" s="35"/>
      <c r="H155" s="35"/>
      <c r="I155" s="36"/>
    </row>
    <row r="156" spans="2:9" x14ac:dyDescent="0.25">
      <c r="B156" s="35">
        <v>41.25</v>
      </c>
      <c r="C156" s="123">
        <v>0</v>
      </c>
      <c r="D156" s="36">
        <v>9.0443575100000007E-2</v>
      </c>
      <c r="E156" s="36">
        <v>-9.382356E-2</v>
      </c>
      <c r="F156" s="35"/>
      <c r="G156" s="35"/>
      <c r="H156" s="35"/>
      <c r="I156" s="36"/>
    </row>
    <row r="157" spans="2:9" x14ac:dyDescent="0.25">
      <c r="B157" s="35">
        <v>41.5</v>
      </c>
      <c r="C157" s="123">
        <v>0</v>
      </c>
      <c r="D157" s="36">
        <v>8.8925596499999995E-2</v>
      </c>
      <c r="E157" s="36">
        <v>-9.3133380000000002E-2</v>
      </c>
      <c r="F157" s="35"/>
      <c r="G157" s="35"/>
      <c r="H157" s="35"/>
      <c r="I157" s="36"/>
    </row>
    <row r="158" spans="2:9" x14ac:dyDescent="0.25">
      <c r="B158" s="35">
        <v>41.75</v>
      </c>
      <c r="C158" s="123">
        <v>0</v>
      </c>
      <c r="D158" s="36">
        <v>8.7385980399999993E-2</v>
      </c>
      <c r="E158" s="36">
        <v>-9.2394950000000003E-2</v>
      </c>
      <c r="F158" s="35"/>
      <c r="G158" s="35"/>
      <c r="H158" s="35"/>
      <c r="I158" s="36"/>
    </row>
    <row r="159" spans="2:9" x14ac:dyDescent="0.25">
      <c r="B159" s="35">
        <v>42</v>
      </c>
      <c r="C159" s="123">
        <v>0</v>
      </c>
      <c r="D159" s="36">
        <v>8.5825419299999997E-2</v>
      </c>
      <c r="E159" s="36">
        <v>-9.1609019999999999E-2</v>
      </c>
      <c r="F159" s="35"/>
      <c r="G159" s="35"/>
      <c r="H159" s="35"/>
      <c r="I159" s="36"/>
    </row>
    <row r="160" spans="2:9" x14ac:dyDescent="0.25">
      <c r="B160" s="35">
        <v>42.25</v>
      </c>
      <c r="C160" s="123">
        <v>0</v>
      </c>
      <c r="D160" s="36">
        <v>8.4244757000000003E-2</v>
      </c>
      <c r="E160" s="36">
        <v>-9.0776369999999995E-2</v>
      </c>
      <c r="F160" s="35"/>
      <c r="G160" s="35"/>
      <c r="H160" s="35"/>
      <c r="I160" s="36"/>
    </row>
    <row r="161" spans="2:9" x14ac:dyDescent="0.25">
      <c r="B161" s="35">
        <v>42.5</v>
      </c>
      <c r="C161" s="123">
        <v>0</v>
      </c>
      <c r="D161" s="36">
        <v>8.2644698899999994E-2</v>
      </c>
      <c r="E161" s="36">
        <v>-8.9897909999999998E-2</v>
      </c>
      <c r="F161" s="35"/>
      <c r="G161" s="35"/>
      <c r="H161" s="35"/>
      <c r="I161" s="36"/>
    </row>
    <row r="162" spans="2:9" x14ac:dyDescent="0.25">
      <c r="B162" s="35">
        <v>42.75</v>
      </c>
      <c r="C162" s="123">
        <v>0</v>
      </c>
      <c r="D162" s="36">
        <v>8.1025991199999994E-2</v>
      </c>
      <c r="E162" s="36">
        <v>-8.8974499999999998E-2</v>
      </c>
      <c r="F162" s="35"/>
      <c r="G162" s="35"/>
      <c r="H162" s="35"/>
      <c r="I162" s="36"/>
    </row>
    <row r="163" spans="2:9" x14ac:dyDescent="0.25">
      <c r="B163" s="35">
        <v>43</v>
      </c>
      <c r="C163" s="123">
        <v>0</v>
      </c>
      <c r="D163" s="36">
        <v>7.9389588499999997E-2</v>
      </c>
      <c r="E163" s="36">
        <v>-8.8006940000000006E-2</v>
      </c>
      <c r="F163" s="35"/>
      <c r="G163" s="35"/>
      <c r="H163" s="35"/>
      <c r="I163" s="36"/>
    </row>
    <row r="164" spans="2:9" x14ac:dyDescent="0.25">
      <c r="B164" s="35">
        <v>43.25</v>
      </c>
      <c r="C164" s="123">
        <v>0</v>
      </c>
      <c r="D164" s="36">
        <v>7.7736623300000002E-2</v>
      </c>
      <c r="E164" s="36">
        <v>-8.6995939999999994E-2</v>
      </c>
      <c r="F164" s="35"/>
      <c r="G164" s="35"/>
      <c r="H164" s="35"/>
      <c r="I164" s="36"/>
    </row>
    <row r="165" spans="2:9" x14ac:dyDescent="0.25">
      <c r="B165" s="35">
        <v>43.5</v>
      </c>
      <c r="C165" s="123">
        <v>0</v>
      </c>
      <c r="D165" s="36">
        <v>7.6068062899999997E-2</v>
      </c>
      <c r="E165" s="36">
        <v>-8.5941950000000003E-2</v>
      </c>
      <c r="F165" s="35"/>
      <c r="G165" s="35"/>
      <c r="H165" s="35"/>
      <c r="I165" s="36"/>
    </row>
    <row r="166" spans="2:9" x14ac:dyDescent="0.25">
      <c r="B166" s="35">
        <v>43.75</v>
      </c>
      <c r="C166" s="123">
        <v>0</v>
      </c>
      <c r="D166" s="36">
        <v>7.4384785699999997E-2</v>
      </c>
      <c r="E166" s="36">
        <v>-8.4845260000000006E-2</v>
      </c>
      <c r="F166" s="35"/>
      <c r="G166" s="35"/>
      <c r="H166" s="35"/>
      <c r="I166" s="36"/>
    </row>
    <row r="167" spans="2:9" x14ac:dyDescent="0.25">
      <c r="B167" s="35">
        <v>44</v>
      </c>
      <c r="C167" s="123">
        <v>0</v>
      </c>
      <c r="D167" s="36">
        <v>7.2687629700000006E-2</v>
      </c>
      <c r="E167" s="36">
        <v>-8.3706139999999998E-2</v>
      </c>
      <c r="F167" s="35"/>
      <c r="G167" s="35"/>
      <c r="H167" s="35"/>
      <c r="I167" s="36"/>
    </row>
    <row r="168" spans="2:9" x14ac:dyDescent="0.25">
      <c r="B168" s="35">
        <v>44.25</v>
      </c>
      <c r="C168" s="123">
        <v>0</v>
      </c>
      <c r="D168" s="36">
        <v>7.0977407899999997E-2</v>
      </c>
      <c r="E168" s="36">
        <v>-8.2524979999999998E-2</v>
      </c>
      <c r="F168" s="35"/>
      <c r="G168" s="35"/>
      <c r="H168" s="35"/>
      <c r="I168" s="36"/>
    </row>
    <row r="169" spans="2:9" x14ac:dyDescent="0.25">
      <c r="B169" s="35">
        <v>44.5</v>
      </c>
      <c r="C169" s="123">
        <v>0</v>
      </c>
      <c r="D169" s="36">
        <v>6.9254710400000002E-2</v>
      </c>
      <c r="E169" s="36">
        <v>-8.1302239999999998E-2</v>
      </c>
      <c r="F169" s="35"/>
      <c r="G169" s="35"/>
      <c r="H169" s="35"/>
      <c r="I169" s="36"/>
    </row>
    <row r="170" spans="2:9" x14ac:dyDescent="0.25">
      <c r="B170" s="35">
        <v>44.75</v>
      </c>
      <c r="C170" s="123">
        <v>0</v>
      </c>
      <c r="D170" s="36">
        <v>6.7520067500000003E-2</v>
      </c>
      <c r="E170" s="36">
        <v>-8.0038360000000003E-2</v>
      </c>
      <c r="F170" s="35"/>
      <c r="G170" s="35"/>
      <c r="H170" s="35"/>
      <c r="I170" s="36"/>
    </row>
    <row r="171" spans="2:9" x14ac:dyDescent="0.25">
      <c r="B171" s="35">
        <v>45</v>
      </c>
      <c r="C171" s="123">
        <v>0</v>
      </c>
      <c r="D171" s="36">
        <v>6.5774090199999996E-2</v>
      </c>
      <c r="E171" s="36">
        <v>-7.8733789999999998E-2</v>
      </c>
      <c r="F171" s="35"/>
      <c r="G171" s="35"/>
      <c r="H171" s="35"/>
      <c r="I171" s="36"/>
    </row>
    <row r="172" spans="2:9" x14ac:dyDescent="0.25">
      <c r="B172" s="35">
        <v>45.25</v>
      </c>
      <c r="C172" s="123">
        <v>0</v>
      </c>
      <c r="D172" s="36">
        <v>6.4017204300000005E-2</v>
      </c>
      <c r="E172" s="36">
        <v>-7.7389029999999998E-2</v>
      </c>
      <c r="F172" s="35"/>
      <c r="G172" s="35"/>
      <c r="H172" s="35"/>
      <c r="I172" s="36"/>
    </row>
    <row r="173" spans="2:9" x14ac:dyDescent="0.25">
      <c r="B173" s="35">
        <v>45.5</v>
      </c>
      <c r="C173" s="123">
        <v>0</v>
      </c>
      <c r="D173" s="36">
        <v>6.2249108400000003E-2</v>
      </c>
      <c r="E173" s="36">
        <v>-7.6004769999999999E-2</v>
      </c>
      <c r="F173" s="35"/>
      <c r="G173" s="35"/>
      <c r="H173" s="35"/>
      <c r="I173" s="36"/>
    </row>
    <row r="174" spans="2:9" x14ac:dyDescent="0.25">
      <c r="B174" s="35">
        <v>45.75</v>
      </c>
      <c r="C174" s="123">
        <v>0</v>
      </c>
      <c r="D174" s="36">
        <v>6.0469390800000002E-2</v>
      </c>
      <c r="E174" s="36">
        <v>-7.4581729999999999E-2</v>
      </c>
      <c r="F174" s="35"/>
      <c r="G174" s="35"/>
      <c r="H174" s="35"/>
      <c r="I174" s="36"/>
    </row>
    <row r="175" spans="2:9" x14ac:dyDescent="0.25">
      <c r="B175" s="35">
        <v>46</v>
      </c>
      <c r="C175" s="123">
        <v>0</v>
      </c>
      <c r="D175" s="36">
        <v>5.8677614500000003E-2</v>
      </c>
      <c r="E175" s="36">
        <v>-7.3120669999999999E-2</v>
      </c>
      <c r="F175" s="35"/>
      <c r="G175" s="35"/>
      <c r="H175" s="35"/>
      <c r="I175" s="36"/>
    </row>
    <row r="176" spans="2:9" x14ac:dyDescent="0.25">
      <c r="B176" s="35">
        <v>46.25</v>
      </c>
      <c r="C176" s="123">
        <v>0</v>
      </c>
      <c r="D176" s="36">
        <v>5.6873395299999997E-2</v>
      </c>
      <c r="E176" s="36">
        <v>-7.1622379999999999E-2</v>
      </c>
      <c r="F176" s="35"/>
      <c r="G176" s="35"/>
      <c r="H176" s="35"/>
      <c r="I176" s="36"/>
    </row>
    <row r="177" spans="2:9" x14ac:dyDescent="0.25">
      <c r="B177" s="35">
        <v>46.5</v>
      </c>
      <c r="C177" s="123">
        <v>0</v>
      </c>
      <c r="D177" s="36">
        <v>5.5056435899999999E-2</v>
      </c>
      <c r="E177" s="36">
        <v>-7.008781E-2</v>
      </c>
      <c r="F177" s="35"/>
      <c r="G177" s="35"/>
      <c r="H177" s="35"/>
      <c r="I177" s="36"/>
    </row>
    <row r="178" spans="2:9" x14ac:dyDescent="0.25">
      <c r="B178" s="35">
        <v>46.75</v>
      </c>
      <c r="C178" s="123">
        <v>0</v>
      </c>
      <c r="D178" s="36">
        <v>5.32266484E-2</v>
      </c>
      <c r="E178" s="36">
        <v>-6.8517910000000001E-2</v>
      </c>
      <c r="F178" s="35"/>
      <c r="G178" s="35"/>
      <c r="H178" s="35"/>
      <c r="I178" s="36"/>
    </row>
    <row r="179" spans="2:9" x14ac:dyDescent="0.25">
      <c r="B179" s="35">
        <v>47</v>
      </c>
      <c r="C179" s="123">
        <v>0</v>
      </c>
      <c r="D179" s="36">
        <v>5.1384134400000003E-2</v>
      </c>
      <c r="E179" s="36">
        <v>-6.6913600000000004E-2</v>
      </c>
      <c r="F179" s="35"/>
      <c r="G179" s="35"/>
      <c r="H179" s="35"/>
      <c r="I179" s="36"/>
    </row>
    <row r="180" spans="2:9" x14ac:dyDescent="0.25">
      <c r="B180" s="35">
        <v>47.25</v>
      </c>
      <c r="C180" s="123">
        <v>0</v>
      </c>
      <c r="D180" s="36">
        <v>4.952906E-2</v>
      </c>
      <c r="E180" s="36">
        <v>-6.5275719999999995E-2</v>
      </c>
      <c r="F180" s="35"/>
      <c r="G180" s="35"/>
      <c r="H180" s="35"/>
      <c r="I180" s="36"/>
    </row>
    <row r="181" spans="2:9" x14ac:dyDescent="0.25">
      <c r="B181" s="35">
        <v>47.5</v>
      </c>
      <c r="C181" s="123">
        <v>0</v>
      </c>
      <c r="D181" s="36">
        <v>4.7661459400000002E-2</v>
      </c>
      <c r="E181" s="36">
        <v>-6.3605239999999993E-2</v>
      </c>
      <c r="F181" s="35"/>
      <c r="G181" s="35"/>
      <c r="H181" s="35"/>
      <c r="I181" s="36"/>
    </row>
    <row r="182" spans="2:9" x14ac:dyDescent="0.25">
      <c r="B182" s="35">
        <v>47.75</v>
      </c>
      <c r="C182" s="123">
        <v>0</v>
      </c>
      <c r="D182" s="36">
        <v>4.5781388700000002E-2</v>
      </c>
      <c r="E182" s="36">
        <v>-6.1903159999999999E-2</v>
      </c>
      <c r="F182" s="35"/>
      <c r="G182" s="35"/>
      <c r="H182" s="35"/>
      <c r="I182" s="36"/>
    </row>
    <row r="183" spans="2:9" x14ac:dyDescent="0.25">
      <c r="B183" s="35">
        <v>48</v>
      </c>
      <c r="C183" s="123">
        <v>0</v>
      </c>
      <c r="D183" s="36">
        <v>4.3889004600000003E-2</v>
      </c>
      <c r="E183" s="36">
        <v>-6.0170399999999999E-2</v>
      </c>
      <c r="F183" s="35"/>
      <c r="G183" s="35"/>
      <c r="H183" s="35"/>
      <c r="I183" s="36"/>
    </row>
    <row r="184" spans="2:9" x14ac:dyDescent="0.25">
      <c r="B184" s="35">
        <v>48.25</v>
      </c>
      <c r="C184" s="123">
        <v>0</v>
      </c>
      <c r="D184" s="36">
        <v>4.1984471099999997E-2</v>
      </c>
      <c r="E184" s="36">
        <v>-5.8407779999999999E-2</v>
      </c>
      <c r="F184" s="35"/>
      <c r="G184" s="35"/>
      <c r="H184" s="35"/>
      <c r="I184" s="36"/>
    </row>
    <row r="185" spans="2:9" x14ac:dyDescent="0.25">
      <c r="B185" s="35">
        <v>48.5</v>
      </c>
      <c r="C185" s="123">
        <v>0</v>
      </c>
      <c r="D185" s="36">
        <v>4.0067663000000003E-2</v>
      </c>
      <c r="E185" s="36">
        <v>-5.6616079999999999E-2</v>
      </c>
      <c r="F185" s="35"/>
      <c r="G185" s="35"/>
      <c r="H185" s="35"/>
      <c r="I185" s="36"/>
    </row>
    <row r="186" spans="2:9" x14ac:dyDescent="0.25">
      <c r="B186" s="35">
        <v>48.75</v>
      </c>
      <c r="C186" s="123">
        <v>0</v>
      </c>
      <c r="D186" s="36">
        <v>3.8138388799999999E-2</v>
      </c>
      <c r="E186" s="36">
        <v>-5.4796030000000003E-2</v>
      </c>
      <c r="F186" s="35"/>
      <c r="G186" s="35"/>
      <c r="H186" s="35"/>
      <c r="I186" s="36"/>
    </row>
    <row r="187" spans="2:9" x14ac:dyDescent="0.25">
      <c r="B187" s="35">
        <v>49</v>
      </c>
      <c r="C187" s="123">
        <v>0</v>
      </c>
      <c r="D187" s="36">
        <v>3.6196647499999998E-2</v>
      </c>
      <c r="E187" s="36">
        <v>-5.2948290000000002E-2</v>
      </c>
      <c r="F187" s="35"/>
      <c r="G187" s="35"/>
      <c r="H187" s="35"/>
      <c r="I187" s="36"/>
    </row>
    <row r="188" spans="2:9" x14ac:dyDescent="0.25">
      <c r="B188" s="35">
        <v>49.25</v>
      </c>
      <c r="C188" s="123">
        <v>0</v>
      </c>
      <c r="D188" s="36">
        <v>3.4242460699999998E-2</v>
      </c>
      <c r="E188" s="36">
        <v>-5.1073540000000001E-2</v>
      </c>
      <c r="F188" s="35"/>
      <c r="G188" s="35"/>
      <c r="H188" s="35"/>
      <c r="I188" s="36"/>
    </row>
    <row r="189" spans="2:9" x14ac:dyDescent="0.25">
      <c r="B189" s="35">
        <v>49.5</v>
      </c>
      <c r="C189" s="123">
        <v>0</v>
      </c>
      <c r="D189" s="36">
        <v>3.2275655600000001E-2</v>
      </c>
      <c r="E189" s="36">
        <v>-4.9172670000000002E-2</v>
      </c>
      <c r="F189" s="35"/>
      <c r="G189" s="35"/>
      <c r="H189" s="35"/>
      <c r="I189" s="36"/>
    </row>
    <row r="190" spans="2:9" x14ac:dyDescent="0.25">
      <c r="B190" s="35">
        <v>49.75</v>
      </c>
      <c r="C190" s="123">
        <v>0</v>
      </c>
      <c r="D190" s="36">
        <v>3.0296106699999999E-2</v>
      </c>
      <c r="E190" s="36">
        <v>-4.7246539999999997E-2</v>
      </c>
      <c r="F190" s="35"/>
      <c r="G190" s="35"/>
      <c r="H190" s="35"/>
      <c r="I190" s="36"/>
    </row>
    <row r="191" spans="2:9" x14ac:dyDescent="0.25">
      <c r="B191" s="35">
        <v>50</v>
      </c>
      <c r="C191" s="123">
        <v>0</v>
      </c>
      <c r="D191" s="36">
        <v>2.8303775900000001E-2</v>
      </c>
      <c r="E191" s="36">
        <v>-4.5296009999999998E-2</v>
      </c>
      <c r="F191" s="35"/>
      <c r="G191" s="35"/>
      <c r="H191" s="35"/>
      <c r="I191" s="36"/>
    </row>
    <row r="192" spans="2:9" x14ac:dyDescent="0.25">
      <c r="B192" s="35">
        <v>50.25</v>
      </c>
      <c r="C192" s="123">
        <v>0</v>
      </c>
      <c r="D192" s="36">
        <v>2.6298664199999999E-2</v>
      </c>
      <c r="E192" s="36">
        <v>-4.3321890000000002E-2</v>
      </c>
      <c r="F192" s="35"/>
      <c r="G192" s="35"/>
      <c r="H192" s="35"/>
      <c r="I192" s="36"/>
    </row>
    <row r="193" spans="2:9" x14ac:dyDescent="0.25">
      <c r="B193" s="35">
        <v>50.5</v>
      </c>
      <c r="C193" s="123">
        <v>0</v>
      </c>
      <c r="D193" s="36">
        <v>2.4280759499999999E-2</v>
      </c>
      <c r="E193" s="36">
        <v>-4.1324960000000001E-2</v>
      </c>
      <c r="F193" s="35"/>
      <c r="G193" s="35"/>
      <c r="H193" s="35"/>
      <c r="I193" s="36"/>
    </row>
    <row r="194" spans="2:9" x14ac:dyDescent="0.25">
      <c r="B194" s="35">
        <v>50.75</v>
      </c>
      <c r="C194" s="123">
        <v>0</v>
      </c>
      <c r="D194" s="36">
        <v>2.2250063600000002E-2</v>
      </c>
      <c r="E194" s="36">
        <v>-3.9305970000000003E-2</v>
      </c>
      <c r="F194" s="35"/>
      <c r="G194" s="35"/>
      <c r="H194" s="35"/>
      <c r="I194" s="36"/>
    </row>
    <row r="195" spans="2:9" x14ac:dyDescent="0.25">
      <c r="B195" s="35">
        <v>51</v>
      </c>
      <c r="C195" s="123">
        <v>0</v>
      </c>
      <c r="D195" s="36">
        <v>2.0206648800000001E-2</v>
      </c>
      <c r="E195" s="36">
        <v>-3.7265640000000003E-2</v>
      </c>
      <c r="F195" s="35"/>
      <c r="G195" s="35"/>
      <c r="H195" s="35"/>
      <c r="I195" s="36"/>
    </row>
    <row r="196" spans="2:9" x14ac:dyDescent="0.25">
      <c r="B196" s="35">
        <v>51.25</v>
      </c>
      <c r="C196" s="123">
        <v>0</v>
      </c>
      <c r="D196" s="36">
        <v>1.8150557599999999E-2</v>
      </c>
      <c r="E196" s="36">
        <v>-3.5204590000000001E-2</v>
      </c>
      <c r="F196" s="35"/>
      <c r="G196" s="35"/>
      <c r="H196" s="35"/>
      <c r="I196" s="36"/>
    </row>
    <row r="197" spans="2:9" x14ac:dyDescent="0.25">
      <c r="B197" s="35">
        <v>51.5</v>
      </c>
      <c r="C197" s="123">
        <v>0</v>
      </c>
      <c r="D197" s="36">
        <v>1.6081714899999999E-2</v>
      </c>
      <c r="E197" s="36">
        <v>-3.3123479999999997E-2</v>
      </c>
      <c r="F197" s="35"/>
      <c r="G197" s="35"/>
      <c r="H197" s="35"/>
      <c r="I197" s="36"/>
    </row>
    <row r="198" spans="2:9" x14ac:dyDescent="0.25">
      <c r="B198" s="35">
        <v>51.75</v>
      </c>
      <c r="C198" s="123">
        <v>0</v>
      </c>
      <c r="D198" s="36">
        <v>1.4000016400000001E-2</v>
      </c>
      <c r="E198" s="36">
        <v>-3.1022950000000001E-2</v>
      </c>
      <c r="F198" s="35"/>
      <c r="G198" s="35"/>
      <c r="H198" s="35"/>
      <c r="I198" s="36"/>
    </row>
    <row r="199" spans="2:9" x14ac:dyDescent="0.25">
      <c r="B199" s="35">
        <v>52</v>
      </c>
      <c r="C199" s="123">
        <v>0</v>
      </c>
      <c r="D199" s="36">
        <v>1.1905392399999999E-2</v>
      </c>
      <c r="E199" s="36">
        <v>-2.890361E-2</v>
      </c>
      <c r="F199" s="35"/>
      <c r="G199" s="35"/>
      <c r="H199" s="35"/>
      <c r="I199" s="36"/>
    </row>
    <row r="200" spans="2:9" x14ac:dyDescent="0.25">
      <c r="B200" s="35">
        <v>52.25</v>
      </c>
      <c r="C200" s="123">
        <v>0</v>
      </c>
      <c r="D200" s="36">
        <v>9.7978583000000001E-3</v>
      </c>
      <c r="E200" s="36">
        <v>-2.6766020000000001E-2</v>
      </c>
      <c r="F200" s="35"/>
      <c r="G200" s="35"/>
      <c r="H200" s="35"/>
      <c r="I200" s="36"/>
    </row>
    <row r="201" spans="2:9" x14ac:dyDescent="0.25">
      <c r="B201" s="35">
        <v>52.5</v>
      </c>
      <c r="C201" s="123">
        <v>0</v>
      </c>
      <c r="D201" s="36">
        <v>7.6773546999999998E-3</v>
      </c>
      <c r="E201" s="36">
        <v>-2.4610779999999999E-2</v>
      </c>
      <c r="F201" s="35"/>
      <c r="G201" s="35"/>
      <c r="H201" s="35"/>
      <c r="I201" s="36"/>
    </row>
    <row r="202" spans="2:9" x14ac:dyDescent="0.25">
      <c r="B202" s="35">
        <v>52.75</v>
      </c>
      <c r="C202" s="123">
        <v>0</v>
      </c>
      <c r="D202" s="36">
        <v>5.5437741E-3</v>
      </c>
      <c r="E202" s="36">
        <v>-2.2438509999999998E-2</v>
      </c>
      <c r="F202" s="35"/>
      <c r="G202" s="35"/>
      <c r="H202" s="35"/>
      <c r="I202" s="36"/>
    </row>
    <row r="203" spans="2:9" x14ac:dyDescent="0.25">
      <c r="B203" s="35">
        <v>53</v>
      </c>
      <c r="C203" s="123">
        <v>0</v>
      </c>
      <c r="D203" s="36">
        <v>3.3969797999999999E-3</v>
      </c>
      <c r="E203" s="36">
        <v>-2.024989E-2</v>
      </c>
      <c r="F203" s="35"/>
      <c r="G203" s="35"/>
      <c r="H203" s="35"/>
      <c r="I203" s="36"/>
    </row>
    <row r="204" spans="2:9" x14ac:dyDescent="0.25">
      <c r="B204" s="35">
        <v>53.25</v>
      </c>
      <c r="C204" s="123">
        <v>0</v>
      </c>
      <c r="D204" s="36">
        <v>1.2368400999999999E-3</v>
      </c>
      <c r="E204" s="36">
        <v>-1.8045579999999999E-2</v>
      </c>
      <c r="F204" s="35"/>
      <c r="G204" s="35"/>
      <c r="H204" s="35"/>
      <c r="I204" s="36"/>
    </row>
    <row r="205" spans="2:9" x14ac:dyDescent="0.25">
      <c r="B205" s="35">
        <v>53.5</v>
      </c>
      <c r="C205" s="123">
        <v>0</v>
      </c>
      <c r="D205" s="36">
        <v>-9.3673319999999999E-4</v>
      </c>
      <c r="E205" s="36">
        <v>-1.5826260000000002E-2</v>
      </c>
      <c r="F205" s="35"/>
      <c r="G205" s="35"/>
      <c r="H205" s="35"/>
      <c r="I205" s="36"/>
    </row>
    <row r="206" spans="2:9" x14ac:dyDescent="0.25">
      <c r="B206" s="35">
        <v>53.75</v>
      </c>
      <c r="C206" s="123">
        <v>0</v>
      </c>
      <c r="D206" s="36">
        <v>-3.1237002000000002E-3</v>
      </c>
      <c r="E206" s="36">
        <v>-1.359251E-2</v>
      </c>
      <c r="F206" s="35"/>
      <c r="G206" s="35"/>
      <c r="H206" s="35"/>
      <c r="I206" s="36"/>
    </row>
    <row r="207" spans="2:9" x14ac:dyDescent="0.25">
      <c r="B207" s="35">
        <v>54</v>
      </c>
      <c r="C207" s="123">
        <v>0</v>
      </c>
      <c r="D207" s="36">
        <v>-5.3239753000000004E-3</v>
      </c>
      <c r="E207" s="36">
        <v>-1.134491E-2</v>
      </c>
      <c r="F207" s="35"/>
      <c r="G207" s="35"/>
      <c r="H207" s="35"/>
      <c r="I207" s="36"/>
    </row>
    <row r="208" spans="2:9" x14ac:dyDescent="0.25">
      <c r="B208" s="35">
        <v>54.25</v>
      </c>
      <c r="C208" s="123">
        <v>0</v>
      </c>
      <c r="D208" s="36">
        <v>-7.5374678000000002E-3</v>
      </c>
      <c r="E208" s="36">
        <v>-9.0840279999999992E-3</v>
      </c>
      <c r="F208" s="35"/>
      <c r="G208" s="35"/>
      <c r="H208" s="35"/>
      <c r="I208" s="36"/>
    </row>
    <row r="209" spans="2:9" x14ac:dyDescent="0.25">
      <c r="B209" s="35">
        <v>54.5</v>
      </c>
      <c r="C209" s="123">
        <v>0</v>
      </c>
      <c r="D209" s="36">
        <v>-9.7642852999999998E-3</v>
      </c>
      <c r="E209" s="36">
        <v>-6.810539E-3</v>
      </c>
      <c r="F209" s="35"/>
      <c r="G209" s="35"/>
      <c r="H209" s="35"/>
      <c r="I209" s="36"/>
    </row>
    <row r="210" spans="2:9" x14ac:dyDescent="0.25">
      <c r="B210" s="35">
        <v>54.75</v>
      </c>
      <c r="C210" s="123">
        <v>0</v>
      </c>
      <c r="D210" s="36">
        <v>-1.2004503600000001E-2</v>
      </c>
      <c r="E210" s="36">
        <v>-4.5250769999999997E-3</v>
      </c>
      <c r="F210" s="35"/>
      <c r="G210" s="35"/>
      <c r="H210" s="35"/>
      <c r="I210" s="36"/>
    </row>
    <row r="211" spans="2:9" x14ac:dyDescent="0.25">
      <c r="B211" s="35">
        <v>55</v>
      </c>
      <c r="C211" s="123">
        <v>0</v>
      </c>
      <c r="D211" s="36">
        <v>-1.4258162200000001E-2</v>
      </c>
      <c r="E211" s="36">
        <v>-2.228262E-3</v>
      </c>
      <c r="F211" s="35"/>
      <c r="G211" s="35"/>
      <c r="H211" s="35"/>
      <c r="I211" s="36"/>
    </row>
    <row r="212" spans="2:9" x14ac:dyDescent="0.25">
      <c r="B212" s="35">
        <v>55.25</v>
      </c>
      <c r="C212" s="123">
        <v>0</v>
      </c>
      <c r="D212" s="36">
        <v>-1.6525341900000001E-2</v>
      </c>
      <c r="E212" s="36">
        <v>7.9334910000000006E-5</v>
      </c>
      <c r="F212" s="35"/>
      <c r="G212" s="35"/>
      <c r="H212" s="35"/>
      <c r="I212" s="36"/>
    </row>
    <row r="213" spans="2:9" x14ac:dyDescent="0.25">
      <c r="B213" s="35">
        <v>55.5</v>
      </c>
      <c r="C213" s="123">
        <v>0</v>
      </c>
      <c r="D213" s="36">
        <v>-1.8806374099999999E-2</v>
      </c>
      <c r="E213" s="36">
        <v>2.3971940000000001E-3</v>
      </c>
      <c r="F213" s="35"/>
      <c r="G213" s="35"/>
      <c r="H213" s="35"/>
      <c r="I213" s="36"/>
    </row>
    <row r="214" spans="2:9" x14ac:dyDescent="0.25">
      <c r="B214" s="35">
        <v>55.75</v>
      </c>
      <c r="C214" s="123">
        <v>0</v>
      </c>
      <c r="D214" s="36">
        <v>-2.1101591900000001E-2</v>
      </c>
      <c r="E214" s="36">
        <v>4.7248519999999999E-3</v>
      </c>
      <c r="F214" s="35"/>
      <c r="G214" s="35"/>
      <c r="H214" s="35"/>
      <c r="I214" s="36"/>
    </row>
    <row r="215" spans="2:9" x14ac:dyDescent="0.25">
      <c r="B215" s="35">
        <v>56</v>
      </c>
      <c r="C215" s="123">
        <v>0</v>
      </c>
      <c r="D215" s="36">
        <v>-2.3411260600000001E-2</v>
      </c>
      <c r="E215" s="36">
        <v>7.0618590000000002E-3</v>
      </c>
      <c r="F215" s="35"/>
      <c r="G215" s="35"/>
      <c r="H215" s="35"/>
      <c r="I215" s="36"/>
    </row>
    <row r="216" spans="2:9" x14ac:dyDescent="0.25">
      <c r="B216" s="35">
        <v>56.25</v>
      </c>
      <c r="C216" s="123">
        <v>0</v>
      </c>
      <c r="D216" s="36">
        <v>-2.5735567399999999E-2</v>
      </c>
      <c r="E216" s="36">
        <v>9.4077380000000006E-3</v>
      </c>
      <c r="F216" s="35"/>
      <c r="G216" s="35"/>
      <c r="H216" s="35"/>
      <c r="I216" s="36"/>
    </row>
    <row r="217" spans="2:9" x14ac:dyDescent="0.25">
      <c r="B217" s="35">
        <v>56.5</v>
      </c>
      <c r="C217" s="123">
        <v>0</v>
      </c>
      <c r="D217" s="36">
        <v>-2.8074651199999998E-2</v>
      </c>
      <c r="E217" s="36">
        <v>1.17619E-2</v>
      </c>
      <c r="F217" s="35"/>
      <c r="G217" s="35"/>
      <c r="H217" s="35"/>
      <c r="I217" s="36"/>
    </row>
    <row r="218" spans="2:9" x14ac:dyDescent="0.25">
      <c r="B218" s="35">
        <v>56.75</v>
      </c>
      <c r="C218" s="123">
        <v>0</v>
      </c>
      <c r="D218" s="36">
        <v>-3.0428549799999999E-2</v>
      </c>
      <c r="E218" s="36">
        <v>1.4123790000000001E-2</v>
      </c>
      <c r="F218" s="35"/>
      <c r="G218" s="35"/>
      <c r="H218" s="35"/>
      <c r="I218" s="36"/>
    </row>
    <row r="219" spans="2:9" x14ac:dyDescent="0.25">
      <c r="B219" s="35">
        <v>57</v>
      </c>
      <c r="C219" s="123">
        <v>0</v>
      </c>
      <c r="D219" s="36">
        <v>-3.2797239200000002E-2</v>
      </c>
      <c r="E219" s="36">
        <v>1.6492900000000001E-2</v>
      </c>
      <c r="F219" s="35"/>
      <c r="G219" s="35"/>
      <c r="H219" s="35"/>
      <c r="I219" s="36"/>
    </row>
    <row r="220" spans="2:9" x14ac:dyDescent="0.25">
      <c r="B220" s="35">
        <v>57.25</v>
      </c>
      <c r="C220" s="123">
        <v>0</v>
      </c>
      <c r="D220" s="36">
        <v>-3.5180661000000002E-2</v>
      </c>
      <c r="E220" s="36">
        <v>1.8868739999999998E-2</v>
      </c>
      <c r="F220" s="35"/>
      <c r="G220" s="35"/>
      <c r="H220" s="35"/>
      <c r="I220" s="36"/>
    </row>
    <row r="221" spans="2:9" x14ac:dyDescent="0.25">
      <c r="B221" s="35">
        <v>57.5</v>
      </c>
      <c r="C221" s="123">
        <v>0</v>
      </c>
      <c r="D221" s="36">
        <v>-3.7578634200000002E-2</v>
      </c>
      <c r="E221" s="36">
        <v>2.12508E-2</v>
      </c>
      <c r="F221" s="35"/>
      <c r="G221" s="35"/>
      <c r="H221" s="35"/>
      <c r="I221" s="36"/>
    </row>
    <row r="222" spans="2:9" x14ac:dyDescent="0.25">
      <c r="B222" s="35">
        <v>57.75</v>
      </c>
      <c r="C222" s="123">
        <v>0</v>
      </c>
      <c r="D222" s="36">
        <v>-3.9990924300000001E-2</v>
      </c>
      <c r="E222" s="36">
        <v>2.3638559999999999E-2</v>
      </c>
      <c r="F222" s="35"/>
      <c r="G222" s="35"/>
      <c r="H222" s="35"/>
      <c r="I222" s="36"/>
    </row>
    <row r="223" spans="2:9" x14ac:dyDescent="0.25">
      <c r="B223" s="35">
        <v>58</v>
      </c>
      <c r="C223" s="123">
        <v>0</v>
      </c>
      <c r="D223" s="36">
        <v>-4.2417298999999999E-2</v>
      </c>
      <c r="E223" s="36">
        <v>2.6031539999999999E-2</v>
      </c>
      <c r="F223" s="35"/>
      <c r="G223" s="35"/>
      <c r="H223" s="35"/>
      <c r="I223" s="36"/>
    </row>
    <row r="224" spans="2:9" x14ac:dyDescent="0.25">
      <c r="B224" s="35">
        <v>58.25</v>
      </c>
      <c r="C224" s="123">
        <v>0</v>
      </c>
      <c r="D224" s="36">
        <v>-4.4857552000000002E-2</v>
      </c>
      <c r="E224" s="36">
        <v>2.842925E-2</v>
      </c>
      <c r="F224" s="35"/>
      <c r="G224" s="35"/>
      <c r="H224" s="35"/>
      <c r="I224" s="36"/>
    </row>
    <row r="225" spans="2:9" x14ac:dyDescent="0.25">
      <c r="B225" s="35">
        <v>58.5</v>
      </c>
      <c r="C225" s="123">
        <v>0</v>
      </c>
      <c r="D225" s="36">
        <v>-4.73115442E-2</v>
      </c>
      <c r="E225" s="36">
        <v>3.08312E-2</v>
      </c>
      <c r="F225" s="35"/>
      <c r="G225" s="35"/>
      <c r="H225" s="35"/>
      <c r="I225" s="36"/>
    </row>
    <row r="226" spans="2:9" x14ac:dyDescent="0.25">
      <c r="B226" s="35">
        <v>58.75</v>
      </c>
      <c r="C226" s="123">
        <v>0</v>
      </c>
      <c r="D226" s="36">
        <v>-4.9779141999999998E-2</v>
      </c>
      <c r="E226" s="36">
        <v>3.3236929999999998E-2</v>
      </c>
      <c r="F226" s="35"/>
      <c r="G226" s="35"/>
      <c r="H226" s="35"/>
      <c r="I226" s="36"/>
    </row>
    <row r="227" spans="2:9" x14ac:dyDescent="0.25">
      <c r="B227" s="35">
        <v>59</v>
      </c>
      <c r="C227" s="123">
        <v>0</v>
      </c>
      <c r="D227" s="36">
        <v>-5.2260184899999999E-2</v>
      </c>
      <c r="E227" s="36">
        <v>3.564602E-2</v>
      </c>
      <c r="F227" s="35"/>
      <c r="G227" s="35"/>
      <c r="H227" s="35"/>
      <c r="I227" s="36"/>
    </row>
    <row r="228" spans="2:9" x14ac:dyDescent="0.25">
      <c r="B228" s="35">
        <v>59.25</v>
      </c>
      <c r="C228" s="123">
        <v>0</v>
      </c>
      <c r="D228" s="36">
        <v>-5.4754445300000003E-2</v>
      </c>
      <c r="E228" s="36">
        <v>3.8058080000000001E-2</v>
      </c>
      <c r="F228" s="35"/>
      <c r="G228" s="35"/>
      <c r="H228" s="35"/>
      <c r="I228" s="36"/>
    </row>
    <row r="229" spans="2:9" x14ac:dyDescent="0.25">
      <c r="B229" s="35">
        <v>59.5</v>
      </c>
      <c r="C229" s="123">
        <v>0</v>
      </c>
      <c r="D229" s="36">
        <v>-5.7261603799999998E-2</v>
      </c>
      <c r="E229" s="36">
        <v>4.0472769999999998E-2</v>
      </c>
      <c r="F229" s="35"/>
      <c r="G229" s="35"/>
      <c r="H229" s="35"/>
      <c r="I229" s="36"/>
    </row>
    <row r="230" spans="2:9" x14ac:dyDescent="0.25">
      <c r="B230" s="35">
        <v>59.75</v>
      </c>
      <c r="C230" s="123">
        <v>0</v>
      </c>
      <c r="D230" s="36">
        <v>-5.9781307399999997E-2</v>
      </c>
      <c r="E230" s="36">
        <v>4.2889770000000001E-2</v>
      </c>
      <c r="F230" s="35"/>
      <c r="G230" s="35"/>
      <c r="H230" s="35"/>
      <c r="I230" s="36"/>
    </row>
    <row r="231" spans="2:9" x14ac:dyDescent="0.25">
      <c r="B231" s="35">
        <v>60</v>
      </c>
      <c r="C231" s="123">
        <v>0</v>
      </c>
      <c r="D231" s="36">
        <v>-6.2313185200000003E-2</v>
      </c>
      <c r="E231" s="36">
        <v>4.5308769999999998E-2</v>
      </c>
      <c r="F231" s="35"/>
      <c r="G231" s="35"/>
      <c r="H231" s="35"/>
      <c r="I231" s="36"/>
    </row>
    <row r="232" spans="2:9" x14ac:dyDescent="0.25">
      <c r="B232" s="35">
        <v>60.25</v>
      </c>
      <c r="C232" s="123">
        <v>0</v>
      </c>
      <c r="D232" s="36">
        <v>-6.48568848E-2</v>
      </c>
      <c r="E232" s="36">
        <v>4.7729460000000001E-2</v>
      </c>
      <c r="F232" s="35"/>
      <c r="G232" s="35"/>
      <c r="H232" s="35"/>
      <c r="I232" s="36"/>
    </row>
    <row r="233" spans="2:9" x14ac:dyDescent="0.25">
      <c r="B233" s="35">
        <v>60.5</v>
      </c>
      <c r="C233" s="123">
        <v>0</v>
      </c>
      <c r="D233" s="36">
        <v>-6.7412185999999999E-2</v>
      </c>
      <c r="E233" s="36">
        <v>5.0151469999999997E-2</v>
      </c>
      <c r="F233" s="35"/>
      <c r="G233" s="35"/>
      <c r="H233" s="35"/>
      <c r="I233" s="36"/>
    </row>
    <row r="234" spans="2:9" x14ac:dyDescent="0.25">
      <c r="B234" s="35">
        <v>60.75</v>
      </c>
      <c r="C234" s="123">
        <v>0</v>
      </c>
      <c r="D234" s="36">
        <v>-6.9978864099999996E-2</v>
      </c>
      <c r="E234" s="36">
        <v>5.2574389999999999E-2</v>
      </c>
      <c r="F234" s="35"/>
      <c r="G234" s="35"/>
      <c r="H234" s="35"/>
      <c r="I234" s="36"/>
    </row>
    <row r="235" spans="2:9" x14ac:dyDescent="0.25">
      <c r="B235" s="35">
        <v>61</v>
      </c>
      <c r="C235" s="123">
        <v>0</v>
      </c>
      <c r="D235" s="36">
        <v>-7.2556665500000006E-2</v>
      </c>
      <c r="E235" s="36">
        <v>5.4997879999999999E-2</v>
      </c>
      <c r="F235" s="35"/>
      <c r="G235" s="35"/>
      <c r="H235" s="35"/>
      <c r="I235" s="36"/>
    </row>
    <row r="236" spans="2:9" x14ac:dyDescent="0.25">
      <c r="B236" s="35">
        <v>61.25</v>
      </c>
      <c r="C236" s="123">
        <v>0</v>
      </c>
      <c r="D236" s="36">
        <v>-7.5145341199999993E-2</v>
      </c>
      <c r="E236" s="36">
        <v>5.7421699999999999E-2</v>
      </c>
      <c r="F236" s="35"/>
      <c r="G236" s="35"/>
      <c r="H236" s="35"/>
      <c r="I236" s="36"/>
    </row>
    <row r="237" spans="2:9" x14ac:dyDescent="0.25">
      <c r="B237" s="35">
        <v>61.5</v>
      </c>
      <c r="C237" s="123">
        <v>0</v>
      </c>
      <c r="D237" s="36">
        <v>-7.7744749700000004E-2</v>
      </c>
      <c r="E237" s="36">
        <v>5.984565E-2</v>
      </c>
      <c r="F237" s="35"/>
      <c r="G237" s="35"/>
      <c r="H237" s="35"/>
      <c r="I237" s="36"/>
    </row>
    <row r="238" spans="2:9" x14ac:dyDescent="0.25">
      <c r="B238" s="35">
        <v>61.75</v>
      </c>
      <c r="C238" s="123">
        <v>0</v>
      </c>
      <c r="D238" s="36">
        <v>-8.0354743100000001E-2</v>
      </c>
      <c r="E238" s="36">
        <v>6.2269570000000003E-2</v>
      </c>
      <c r="F238" s="35"/>
      <c r="G238" s="35"/>
      <c r="H238" s="35"/>
      <c r="I238" s="36"/>
    </row>
    <row r="239" spans="2:9" x14ac:dyDescent="0.25">
      <c r="B239" s="35">
        <v>62</v>
      </c>
      <c r="C239" s="123">
        <v>0</v>
      </c>
      <c r="D239" s="36">
        <v>-8.2975132500000007E-2</v>
      </c>
      <c r="E239" s="36">
        <v>6.4693340000000002E-2</v>
      </c>
      <c r="F239" s="35"/>
      <c r="G239" s="35"/>
      <c r="H239" s="35"/>
      <c r="I239" s="36"/>
    </row>
    <row r="240" spans="2:9" x14ac:dyDescent="0.25">
      <c r="B240" s="35">
        <v>62.25</v>
      </c>
      <c r="C240" s="123">
        <v>0</v>
      </c>
      <c r="D240" s="36">
        <v>-8.5605727500000006E-2</v>
      </c>
      <c r="E240" s="36">
        <v>6.7116869999999995E-2</v>
      </c>
      <c r="F240" s="35"/>
      <c r="G240" s="35"/>
      <c r="H240" s="35"/>
      <c r="I240" s="36"/>
    </row>
    <row r="241" spans="2:9" x14ac:dyDescent="0.25">
      <c r="B241" s="35">
        <v>62.5</v>
      </c>
      <c r="C241" s="123">
        <v>0</v>
      </c>
      <c r="D241" s="36">
        <v>-8.8246443999999993E-2</v>
      </c>
      <c r="E241" s="36">
        <v>6.9540119999999997E-2</v>
      </c>
      <c r="F241" s="35"/>
      <c r="G241" s="35"/>
      <c r="H241" s="35"/>
      <c r="I241" s="36"/>
    </row>
    <row r="242" spans="2:9" x14ac:dyDescent="0.25">
      <c r="B242" s="35">
        <v>62.75</v>
      </c>
      <c r="C242" s="123">
        <v>0</v>
      </c>
      <c r="D242" s="36">
        <v>-9.0897228999999996E-2</v>
      </c>
      <c r="E242" s="36">
        <v>7.1963050000000001E-2</v>
      </c>
      <c r="F242" s="35"/>
      <c r="G242" s="35"/>
      <c r="H242" s="35"/>
      <c r="I242" s="36"/>
    </row>
    <row r="243" spans="2:9" x14ac:dyDescent="0.25">
      <c r="B243" s="35">
        <v>63</v>
      </c>
      <c r="C243" s="123">
        <v>0</v>
      </c>
      <c r="D243" s="36">
        <v>-9.3558031200000003E-2</v>
      </c>
      <c r="E243" s="36">
        <v>7.4385660000000006E-2</v>
      </c>
      <c r="F243" s="35"/>
      <c r="G243" s="35"/>
      <c r="H243" s="35"/>
      <c r="I243" s="36"/>
    </row>
    <row r="244" spans="2:9" x14ac:dyDescent="0.25">
      <c r="B244" s="35">
        <v>63.25</v>
      </c>
      <c r="C244" s="123">
        <v>0</v>
      </c>
      <c r="D244" s="36">
        <v>-9.6228817300000005E-2</v>
      </c>
      <c r="E244" s="36">
        <v>7.6807899999999998E-2</v>
      </c>
      <c r="F244" s="35"/>
      <c r="G244" s="35"/>
      <c r="H244" s="35"/>
      <c r="I244" s="36"/>
    </row>
    <row r="245" spans="2:9" x14ac:dyDescent="0.25">
      <c r="B245" s="35">
        <v>63.5</v>
      </c>
      <c r="C245" s="123">
        <v>0</v>
      </c>
      <c r="D245" s="36">
        <v>-9.8909613699999996E-2</v>
      </c>
      <c r="E245" s="36">
        <v>7.9229830000000001E-2</v>
      </c>
      <c r="F245" s="35"/>
      <c r="G245" s="35"/>
      <c r="H245" s="35"/>
      <c r="I245" s="36"/>
    </row>
    <row r="246" spans="2:9" x14ac:dyDescent="0.25">
      <c r="B246" s="35">
        <v>63.75</v>
      </c>
      <c r="C246" s="123">
        <v>0</v>
      </c>
      <c r="D246" s="36">
        <v>-0.10160043270000001</v>
      </c>
      <c r="E246" s="36">
        <v>8.1651479999999999E-2</v>
      </c>
      <c r="F246" s="35"/>
      <c r="G246" s="35"/>
      <c r="H246" s="35"/>
      <c r="I246" s="36"/>
    </row>
    <row r="247" spans="2:9" x14ac:dyDescent="0.25">
      <c r="B247" s="35">
        <v>64</v>
      </c>
      <c r="C247" s="123">
        <v>0</v>
      </c>
      <c r="D247" s="36">
        <v>-0.1043012591</v>
      </c>
      <c r="E247" s="36">
        <v>8.4072949999999994E-2</v>
      </c>
      <c r="F247" s="35"/>
      <c r="G247" s="35"/>
      <c r="H247" s="35"/>
      <c r="I247" s="36"/>
    </row>
    <row r="248" spans="2:9" x14ac:dyDescent="0.25">
      <c r="B248" s="35">
        <v>64.25</v>
      </c>
      <c r="C248" s="123">
        <v>0</v>
      </c>
      <c r="D248" s="36">
        <v>-0.1070120772</v>
      </c>
      <c r="E248" s="36">
        <v>8.6494280000000007E-2</v>
      </c>
      <c r="F248" s="35"/>
      <c r="G248" s="35"/>
      <c r="H248" s="35"/>
      <c r="I248" s="36"/>
    </row>
    <row r="249" spans="2:9" x14ac:dyDescent="0.25">
      <c r="B249" s="35">
        <v>64.5</v>
      </c>
      <c r="C249" s="123">
        <v>0</v>
      </c>
      <c r="D249" s="36">
        <v>-0.1097328335</v>
      </c>
      <c r="E249" s="36">
        <v>8.8915549999999996E-2</v>
      </c>
      <c r="F249" s="35"/>
      <c r="G249" s="35"/>
      <c r="H249" s="35"/>
      <c r="I249" s="36"/>
    </row>
    <row r="250" spans="2:9" x14ac:dyDescent="0.25">
      <c r="B250" s="35">
        <v>64.75</v>
      </c>
      <c r="C250" s="123">
        <v>0</v>
      </c>
      <c r="D250" s="36">
        <v>-0.1124634643</v>
      </c>
      <c r="E250" s="36">
        <v>9.1336790000000001E-2</v>
      </c>
      <c r="F250" s="35"/>
      <c r="G250" s="35"/>
      <c r="H250" s="35"/>
      <c r="I250" s="36"/>
    </row>
    <row r="251" spans="2:9" x14ac:dyDescent="0.25">
      <c r="B251" s="35">
        <v>65</v>
      </c>
      <c r="C251" s="123">
        <v>0</v>
      </c>
      <c r="D251" s="36">
        <v>-0.1152038962</v>
      </c>
      <c r="E251" s="36">
        <v>9.3758040000000001E-2</v>
      </c>
      <c r="F251" s="35"/>
      <c r="G251" s="35"/>
      <c r="H251" s="35"/>
      <c r="I251" s="36"/>
    </row>
    <row r="252" spans="2:9" x14ac:dyDescent="0.25">
      <c r="B252" s="35">
        <v>65.25</v>
      </c>
      <c r="C252" s="123">
        <v>0</v>
      </c>
      <c r="D252" s="36">
        <v>-0.11795403610000001</v>
      </c>
      <c r="E252" s="36">
        <v>9.6179340000000002E-2</v>
      </c>
      <c r="F252" s="35"/>
      <c r="G252" s="35"/>
      <c r="H252" s="35"/>
      <c r="I252" s="36"/>
    </row>
    <row r="253" spans="2:9" x14ac:dyDescent="0.25">
      <c r="B253" s="35">
        <v>65.5</v>
      </c>
      <c r="C253" s="123">
        <v>0</v>
      </c>
      <c r="D253" s="36">
        <v>-0.12071377210000001</v>
      </c>
      <c r="E253" s="36">
        <v>9.8600670000000001E-2</v>
      </c>
      <c r="F253" s="35"/>
      <c r="G253" s="35"/>
      <c r="H253" s="35"/>
      <c r="I253" s="36"/>
    </row>
    <row r="254" spans="2:9" x14ac:dyDescent="0.25">
      <c r="B254" s="35">
        <v>65.75</v>
      </c>
      <c r="C254" s="123">
        <v>0</v>
      </c>
      <c r="D254" s="36">
        <v>-0.1234830042</v>
      </c>
      <c r="E254" s="36">
        <v>0.101022</v>
      </c>
      <c r="F254" s="35"/>
      <c r="G254" s="35"/>
      <c r="H254" s="35"/>
      <c r="I254" s="36"/>
    </row>
    <row r="255" spans="2:9" x14ac:dyDescent="0.25">
      <c r="B255" s="35">
        <v>66</v>
      </c>
      <c r="C255" s="123">
        <v>0</v>
      </c>
      <c r="D255" s="36">
        <v>-0.1262616238</v>
      </c>
      <c r="E255" s="36">
        <v>0.1034434</v>
      </c>
      <c r="F255" s="35"/>
      <c r="G255" s="35"/>
      <c r="H255" s="35"/>
      <c r="I255" s="36"/>
    </row>
    <row r="256" spans="2:9" x14ac:dyDescent="0.25">
      <c r="B256" s="35">
        <v>66.25</v>
      </c>
      <c r="C256" s="123">
        <v>0</v>
      </c>
      <c r="D256" s="36">
        <v>-0.12904948869999999</v>
      </c>
      <c r="E256" s="36">
        <v>0.1058646</v>
      </c>
      <c r="F256" s="35"/>
      <c r="G256" s="35"/>
      <c r="H256" s="35"/>
      <c r="I256" s="36"/>
    </row>
    <row r="257" spans="2:9" x14ac:dyDescent="0.25">
      <c r="B257" s="35">
        <v>66.5</v>
      </c>
      <c r="C257" s="123">
        <v>0</v>
      </c>
      <c r="D257" s="36">
        <v>-0.13184643309999999</v>
      </c>
      <c r="E257" s="36">
        <v>0.1082857</v>
      </c>
      <c r="F257" s="35"/>
      <c r="G257" s="35"/>
      <c r="H257" s="35"/>
      <c r="I257" s="36"/>
    </row>
    <row r="258" spans="2:9" x14ac:dyDescent="0.25">
      <c r="B258" s="35">
        <v>66.75</v>
      </c>
      <c r="C258" s="123">
        <v>0</v>
      </c>
      <c r="D258" s="36">
        <v>-0.13465229610000001</v>
      </c>
      <c r="E258" s="36">
        <v>0.1107064</v>
      </c>
      <c r="F258" s="35"/>
      <c r="G258" s="35"/>
      <c r="H258" s="35"/>
      <c r="I258" s="36"/>
    </row>
    <row r="259" spans="2:9" x14ac:dyDescent="0.25">
      <c r="B259" s="35">
        <v>67</v>
      </c>
      <c r="C259" s="123">
        <v>0</v>
      </c>
      <c r="D259" s="36">
        <v>-0.13746692460000001</v>
      </c>
      <c r="E259" s="36">
        <v>0.11312659999999999</v>
      </c>
      <c r="F259" s="35"/>
      <c r="G259" s="35"/>
      <c r="H259" s="35"/>
      <c r="I259" s="36"/>
    </row>
    <row r="260" spans="2:9" x14ac:dyDescent="0.25">
      <c r="B260" s="35">
        <v>67.25</v>
      </c>
      <c r="C260" s="123">
        <v>0</v>
      </c>
      <c r="D260" s="36">
        <v>-0.14029014319999999</v>
      </c>
      <c r="E260" s="36">
        <v>0.1155463</v>
      </c>
      <c r="F260" s="35"/>
      <c r="G260" s="35"/>
      <c r="H260" s="35"/>
      <c r="I260" s="36"/>
    </row>
    <row r="261" spans="2:9" x14ac:dyDescent="0.25">
      <c r="B261" s="35">
        <v>67.5</v>
      </c>
      <c r="C261" s="123">
        <v>0</v>
      </c>
      <c r="D261" s="36">
        <v>-0.14312167619999999</v>
      </c>
      <c r="E261" s="36">
        <v>0.1179651</v>
      </c>
      <c r="F261" s="35"/>
      <c r="G261" s="35"/>
      <c r="H261" s="35"/>
      <c r="I261" s="36"/>
    </row>
    <row r="262" spans="2:9" x14ac:dyDescent="0.25">
      <c r="B262" s="35">
        <v>67.75</v>
      </c>
      <c r="C262" s="123">
        <v>0</v>
      </c>
      <c r="D262" s="36">
        <v>-0.14596122140000001</v>
      </c>
      <c r="E262" s="36">
        <v>0.120383</v>
      </c>
      <c r="F262" s="35"/>
      <c r="G262" s="35"/>
      <c r="H262" s="35"/>
      <c r="I262" s="36"/>
    </row>
    <row r="263" spans="2:9" x14ac:dyDescent="0.25">
      <c r="B263" s="35">
        <v>68</v>
      </c>
      <c r="C263" s="123">
        <v>0</v>
      </c>
      <c r="D263" s="36">
        <v>-0.14880847059999999</v>
      </c>
      <c r="E263" s="36">
        <v>0.1227998</v>
      </c>
      <c r="F263" s="35"/>
      <c r="G263" s="35"/>
      <c r="H263" s="35"/>
      <c r="I263" s="36"/>
    </row>
    <row r="264" spans="2:9" x14ac:dyDescent="0.25">
      <c r="B264" s="35">
        <v>68.25</v>
      </c>
      <c r="C264" s="123">
        <v>0</v>
      </c>
      <c r="D264" s="36">
        <v>-0.1516631132</v>
      </c>
      <c r="E264" s="36">
        <v>0.1252154</v>
      </c>
      <c r="F264" s="35"/>
      <c r="G264" s="35"/>
      <c r="H264" s="35"/>
      <c r="I264" s="36"/>
    </row>
    <row r="265" spans="2:9" x14ac:dyDescent="0.25">
      <c r="B265" s="35">
        <v>68.5</v>
      </c>
      <c r="C265" s="123">
        <v>0</v>
      </c>
      <c r="D265" s="36">
        <v>-0.15452484259999999</v>
      </c>
      <c r="E265" s="36">
        <v>0.12762950000000001</v>
      </c>
      <c r="F265" s="35"/>
      <c r="G265" s="35"/>
      <c r="H265" s="35"/>
      <c r="I265" s="36"/>
    </row>
    <row r="266" spans="2:9" x14ac:dyDescent="0.25">
      <c r="B266" s="35">
        <v>68.75</v>
      </c>
      <c r="C266" s="123">
        <v>0</v>
      </c>
      <c r="D266" s="36">
        <v>-0.1573933612</v>
      </c>
      <c r="E266" s="36">
        <v>0.1300422</v>
      </c>
      <c r="F266" s="35"/>
      <c r="G266" s="35"/>
      <c r="H266" s="35"/>
      <c r="I266" s="36"/>
    </row>
    <row r="267" spans="2:9" x14ac:dyDescent="0.25">
      <c r="B267" s="35">
        <v>69</v>
      </c>
      <c r="C267" s="123">
        <v>0</v>
      </c>
      <c r="D267" s="36">
        <v>-0.1602683684</v>
      </c>
      <c r="E267" s="36">
        <v>0.13245319999999999</v>
      </c>
      <c r="F267" s="35"/>
      <c r="G267" s="35"/>
      <c r="H267" s="35"/>
      <c r="I267" s="36"/>
    </row>
    <row r="268" spans="2:9" x14ac:dyDescent="0.25">
      <c r="B268" s="35">
        <v>69.25</v>
      </c>
      <c r="C268" s="123">
        <v>0</v>
      </c>
      <c r="D268" s="36">
        <v>-0.1631495694</v>
      </c>
      <c r="E268" s="36">
        <v>0.13486239999999999</v>
      </c>
      <c r="F268" s="35"/>
      <c r="G268" s="35"/>
      <c r="H268" s="35"/>
      <c r="I268" s="36"/>
    </row>
    <row r="269" spans="2:9" x14ac:dyDescent="0.25">
      <c r="B269" s="35">
        <v>69.5</v>
      </c>
      <c r="C269" s="123">
        <v>0</v>
      </c>
      <c r="D269" s="36">
        <v>-0.16603668520000001</v>
      </c>
      <c r="E269" s="36">
        <v>0.13726969999999999</v>
      </c>
      <c r="F269" s="35"/>
      <c r="G269" s="35"/>
      <c r="H269" s="35"/>
      <c r="I269" s="36"/>
    </row>
    <row r="270" spans="2:9" x14ac:dyDescent="0.25">
      <c r="B270" s="35">
        <v>69.75</v>
      </c>
      <c r="C270" s="123">
        <v>0</v>
      </c>
      <c r="D270" s="36">
        <v>-0.1689294368</v>
      </c>
      <c r="E270" s="36">
        <v>0.13967479999999999</v>
      </c>
      <c r="F270" s="35"/>
      <c r="G270" s="35"/>
      <c r="H270" s="35"/>
      <c r="I270" s="36"/>
    </row>
    <row r="271" spans="2:9" x14ac:dyDescent="0.25">
      <c r="B271" s="35">
        <v>70</v>
      </c>
      <c r="C271" s="123">
        <v>0</v>
      </c>
      <c r="D271" s="36">
        <v>-0.17182755720000001</v>
      </c>
      <c r="E271" s="36">
        <v>0.1420775</v>
      </c>
      <c r="F271" s="35"/>
      <c r="G271" s="35"/>
      <c r="H271" s="35"/>
      <c r="I271" s="36"/>
    </row>
    <row r="272" spans="2:9" x14ac:dyDescent="0.25">
      <c r="B272" s="35">
        <v>70.25</v>
      </c>
      <c r="C272" s="123">
        <v>0</v>
      </c>
      <c r="D272" s="36">
        <v>-0.17473079150000001</v>
      </c>
      <c r="E272" s="36">
        <v>0.14447779999999999</v>
      </c>
      <c r="F272" s="35"/>
      <c r="G272" s="35"/>
      <c r="H272" s="35"/>
      <c r="I272" s="36"/>
    </row>
    <row r="273" spans="2:9" x14ac:dyDescent="0.25">
      <c r="B273" s="35">
        <v>70.5</v>
      </c>
      <c r="C273" s="123">
        <v>0</v>
      </c>
      <c r="D273" s="36">
        <v>-0.17763888110000001</v>
      </c>
      <c r="E273" s="36">
        <v>0.14687539999999999</v>
      </c>
      <c r="F273" s="35"/>
      <c r="G273" s="35"/>
      <c r="H273" s="35"/>
      <c r="I273" s="36"/>
    </row>
    <row r="274" spans="2:9" x14ac:dyDescent="0.25">
      <c r="B274" s="35">
        <v>70.75</v>
      </c>
      <c r="C274" s="123">
        <v>0</v>
      </c>
      <c r="D274" s="36">
        <v>-0.18055155740000001</v>
      </c>
      <c r="E274" s="36">
        <v>0.14927029999999999</v>
      </c>
      <c r="F274" s="35"/>
      <c r="G274" s="35"/>
      <c r="H274" s="35"/>
      <c r="I274" s="36"/>
    </row>
    <row r="275" spans="2:9" x14ac:dyDescent="0.25">
      <c r="B275" s="35">
        <v>71</v>
      </c>
      <c r="C275" s="123">
        <v>0</v>
      </c>
      <c r="D275" s="36">
        <v>-0.1834685335</v>
      </c>
      <c r="E275" s="36">
        <v>0.1516623</v>
      </c>
      <c r="F275" s="35"/>
      <c r="G275" s="35"/>
      <c r="H275" s="35"/>
      <c r="I275" s="36"/>
    </row>
    <row r="276" spans="2:9" x14ac:dyDescent="0.25">
      <c r="B276" s="35">
        <v>71.25</v>
      </c>
      <c r="C276" s="123">
        <v>0</v>
      </c>
      <c r="D276" s="36">
        <v>-0.18638950060000001</v>
      </c>
      <c r="E276" s="36">
        <v>0.15405150000000001</v>
      </c>
      <c r="F276" s="35"/>
      <c r="G276" s="35"/>
      <c r="H276" s="35"/>
      <c r="I276" s="36"/>
    </row>
    <row r="277" spans="2:9" x14ac:dyDescent="0.25">
      <c r="B277" s="35">
        <v>71.5</v>
      </c>
      <c r="C277" s="123">
        <v>0</v>
      </c>
      <c r="D277" s="36">
        <v>-0.18931413559999999</v>
      </c>
      <c r="E277" s="36">
        <v>0.15643760000000001</v>
      </c>
      <c r="F277" s="35"/>
      <c r="G277" s="35"/>
      <c r="H277" s="35"/>
      <c r="I277" s="36"/>
    </row>
    <row r="278" spans="2:9" x14ac:dyDescent="0.25">
      <c r="B278" s="35">
        <v>71.75</v>
      </c>
      <c r="C278" s="123">
        <v>0</v>
      </c>
      <c r="D278" s="36">
        <v>-0.19224212160000001</v>
      </c>
      <c r="E278" s="36">
        <v>0.15882060000000001</v>
      </c>
      <c r="F278" s="35"/>
      <c r="G278" s="35"/>
      <c r="H278" s="35"/>
      <c r="I278" s="36"/>
    </row>
    <row r="279" spans="2:9" x14ac:dyDescent="0.25">
      <c r="B279" s="35">
        <v>72</v>
      </c>
      <c r="C279" s="123">
        <v>0</v>
      </c>
      <c r="D279" s="36">
        <v>-0.1951731434</v>
      </c>
      <c r="E279" s="36">
        <v>0.16120029999999999</v>
      </c>
      <c r="F279" s="35"/>
      <c r="G279" s="35"/>
      <c r="H279" s="35"/>
      <c r="I279" s="36"/>
    </row>
    <row r="280" spans="2:9" x14ac:dyDescent="0.25">
      <c r="B280" s="35">
        <v>72.25</v>
      </c>
      <c r="C280" s="123">
        <v>0</v>
      </c>
      <c r="D280" s="36">
        <v>-0.19810688339999999</v>
      </c>
      <c r="E280" s="36">
        <v>0.16357659999999999</v>
      </c>
      <c r="F280" s="35"/>
      <c r="G280" s="35"/>
      <c r="H280" s="35"/>
      <c r="I280" s="36"/>
    </row>
    <row r="281" spans="2:9" x14ac:dyDescent="0.25">
      <c r="B281" s="35">
        <v>72.5</v>
      </c>
      <c r="C281" s="123">
        <v>0</v>
      </c>
      <c r="D281" s="36">
        <v>-0.2010430225</v>
      </c>
      <c r="E281" s="36">
        <v>0.16594929999999999</v>
      </c>
      <c r="F281" s="35"/>
      <c r="G281" s="35"/>
      <c r="H281" s="35"/>
      <c r="I281" s="36"/>
    </row>
    <row r="282" spans="2:9" x14ac:dyDescent="0.25">
      <c r="B282" s="35">
        <v>72.75</v>
      </c>
      <c r="C282" s="123">
        <v>0</v>
      </c>
      <c r="D282" s="36">
        <v>-0.20398124570000001</v>
      </c>
      <c r="E282" s="36">
        <v>0.1683183</v>
      </c>
      <c r="F282" s="35"/>
      <c r="G282" s="35"/>
      <c r="H282" s="35"/>
      <c r="I282" s="36"/>
    </row>
    <row r="283" spans="2:9" x14ac:dyDescent="0.25">
      <c r="B283" s="35">
        <v>73</v>
      </c>
      <c r="C283" s="123">
        <v>0</v>
      </c>
      <c r="D283" s="36">
        <v>-0.20692124219999999</v>
      </c>
      <c r="E283" s="36">
        <v>0.17068349999999999</v>
      </c>
      <c r="F283" s="35"/>
      <c r="G283" s="35"/>
      <c r="H283" s="35"/>
      <c r="I283" s="36"/>
    </row>
    <row r="284" spans="2:9" x14ac:dyDescent="0.25">
      <c r="B284" s="35">
        <v>73.25</v>
      </c>
      <c r="C284" s="123">
        <v>0</v>
      </c>
      <c r="D284" s="36">
        <v>-0.2098627092</v>
      </c>
      <c r="E284" s="36">
        <v>0.17304459999999999</v>
      </c>
      <c r="F284" s="35"/>
      <c r="G284" s="35"/>
      <c r="H284" s="35"/>
      <c r="I284" s="36"/>
    </row>
    <row r="285" spans="2:9" x14ac:dyDescent="0.25">
      <c r="B285" s="35">
        <v>73.5</v>
      </c>
      <c r="C285" s="123">
        <v>0</v>
      </c>
      <c r="D285" s="36">
        <v>-0.2128053365</v>
      </c>
      <c r="E285" s="36">
        <v>0.17540159999999999</v>
      </c>
      <c r="F285" s="35"/>
      <c r="G285" s="35"/>
      <c r="H285" s="35"/>
      <c r="I285" s="36"/>
    </row>
    <row r="286" spans="2:9" x14ac:dyDescent="0.25">
      <c r="B286" s="35">
        <v>73.75</v>
      </c>
      <c r="C286" s="123">
        <v>0</v>
      </c>
      <c r="D286" s="36">
        <v>-0.21574880909999999</v>
      </c>
      <c r="E286" s="36">
        <v>0.17775440000000001</v>
      </c>
      <c r="F286" s="35"/>
      <c r="G286" s="35"/>
      <c r="H286" s="35"/>
      <c r="I286" s="36"/>
    </row>
    <row r="287" spans="2:9" x14ac:dyDescent="0.25">
      <c r="B287" s="35">
        <v>74</v>
      </c>
      <c r="C287" s="123">
        <v>0</v>
      </c>
      <c r="D287" s="36">
        <v>-0.21869281190000001</v>
      </c>
      <c r="E287" s="36">
        <v>0.1801027</v>
      </c>
      <c r="F287" s="35"/>
      <c r="G287" s="35"/>
      <c r="H287" s="35"/>
      <c r="I287" s="36"/>
    </row>
    <row r="288" spans="2:9" x14ac:dyDescent="0.25">
      <c r="B288" s="35">
        <v>74.25</v>
      </c>
      <c r="C288" s="123">
        <v>0</v>
      </c>
      <c r="D288" s="36">
        <v>-0.2216370282</v>
      </c>
      <c r="E288" s="36">
        <v>0.18244650000000001</v>
      </c>
      <c r="F288" s="35"/>
      <c r="G288" s="35"/>
      <c r="H288" s="35"/>
      <c r="I288" s="36"/>
    </row>
    <row r="289" spans="2:9" x14ac:dyDescent="0.25">
      <c r="B289" s="35">
        <v>74.5</v>
      </c>
      <c r="C289" s="123">
        <v>0</v>
      </c>
      <c r="D289" s="36">
        <v>-0.22458116219999999</v>
      </c>
      <c r="E289" s="36">
        <v>0.1847858</v>
      </c>
      <c r="F289" s="35"/>
      <c r="G289" s="35"/>
      <c r="H289" s="35"/>
      <c r="I289" s="36"/>
    </row>
    <row r="290" spans="2:9" x14ac:dyDescent="0.25">
      <c r="B290" s="35">
        <v>74.75</v>
      </c>
      <c r="C290" s="123">
        <v>0</v>
      </c>
      <c r="D290" s="36">
        <v>-0.2275249198</v>
      </c>
      <c r="E290" s="36">
        <v>0.18712029999999999</v>
      </c>
      <c r="F290" s="35"/>
      <c r="G290" s="35"/>
      <c r="H290" s="35"/>
      <c r="I290" s="36"/>
    </row>
    <row r="291" spans="2:9" x14ac:dyDescent="0.25">
      <c r="B291" s="35">
        <v>75</v>
      </c>
      <c r="C291" s="123">
        <v>0</v>
      </c>
      <c r="D291" s="36">
        <v>-0.23046800540000001</v>
      </c>
      <c r="E291" s="36">
        <v>0.18945020000000001</v>
      </c>
      <c r="F291" s="35"/>
      <c r="G291" s="35"/>
      <c r="H291" s="35"/>
      <c r="I291" s="36"/>
    </row>
    <row r="292" spans="2:9" x14ac:dyDescent="0.25">
      <c r="B292" s="35">
        <v>75.25</v>
      </c>
      <c r="C292" s="123">
        <v>0</v>
      </c>
      <c r="D292" s="36">
        <v>-0.23341012450000001</v>
      </c>
      <c r="E292" s="36">
        <v>0.1917751</v>
      </c>
      <c r="F292" s="35"/>
      <c r="G292" s="35"/>
      <c r="H292" s="35"/>
      <c r="I292" s="36"/>
    </row>
    <row r="293" spans="2:9" x14ac:dyDescent="0.25">
      <c r="B293" s="35">
        <v>75.5</v>
      </c>
      <c r="C293" s="123">
        <v>0</v>
      </c>
      <c r="D293" s="36">
        <v>-0.2363509687</v>
      </c>
      <c r="E293" s="36">
        <v>0.1940952</v>
      </c>
      <c r="F293" s="35"/>
      <c r="G293" s="35"/>
      <c r="H293" s="35"/>
      <c r="I293" s="36"/>
    </row>
    <row r="294" spans="2:9" x14ac:dyDescent="0.25">
      <c r="B294" s="35">
        <v>75.75</v>
      </c>
      <c r="C294" s="123">
        <v>0</v>
      </c>
      <c r="D294" s="36">
        <v>-0.2392902217</v>
      </c>
      <c r="E294" s="36">
        <v>0.19641040000000001</v>
      </c>
      <c r="F294" s="35"/>
      <c r="G294" s="35"/>
      <c r="H294" s="35"/>
      <c r="I294" s="36"/>
    </row>
    <row r="295" spans="2:9" x14ac:dyDescent="0.25">
      <c r="B295" s="35">
        <v>76</v>
      </c>
      <c r="C295" s="123">
        <v>0</v>
      </c>
      <c r="D295" s="36">
        <v>-0.24222757110000001</v>
      </c>
      <c r="E295" s="36">
        <v>0.1987207</v>
      </c>
      <c r="F295" s="35"/>
      <c r="G295" s="35"/>
      <c r="H295" s="35"/>
      <c r="I295" s="36"/>
    </row>
    <row r="296" spans="2:9" x14ac:dyDescent="0.25">
      <c r="B296" s="35">
        <v>76.25</v>
      </c>
      <c r="C296" s="123">
        <v>0</v>
      </c>
      <c r="D296" s="36">
        <v>-0.2451627079</v>
      </c>
      <c r="E296" s="36">
        <v>0.20102600000000001</v>
      </c>
      <c r="F296" s="35"/>
      <c r="G296" s="35"/>
      <c r="H296" s="35"/>
      <c r="I296" s="36"/>
    </row>
    <row r="297" spans="2:9" x14ac:dyDescent="0.25">
      <c r="B297" s="35">
        <v>76.5</v>
      </c>
      <c r="C297" s="123">
        <v>0</v>
      </c>
      <c r="D297" s="36">
        <v>-0.24809531979999999</v>
      </c>
      <c r="E297" s="36">
        <v>0.20332629999999999</v>
      </c>
      <c r="F297" s="35"/>
      <c r="G297" s="35"/>
      <c r="H297" s="35"/>
      <c r="I297" s="36"/>
    </row>
    <row r="298" spans="2:9" x14ac:dyDescent="0.25">
      <c r="B298" s="35">
        <v>76.75</v>
      </c>
      <c r="C298" s="123">
        <v>0</v>
      </c>
      <c r="D298" s="36">
        <v>-0.25102510020000002</v>
      </c>
      <c r="E298" s="36">
        <v>0.20562159999999999</v>
      </c>
      <c r="F298" s="35"/>
      <c r="G298" s="35"/>
      <c r="H298" s="35"/>
      <c r="I298" s="36"/>
    </row>
    <row r="299" spans="2:9" x14ac:dyDescent="0.25">
      <c r="B299" s="35">
        <v>77</v>
      </c>
      <c r="C299" s="123">
        <v>0</v>
      </c>
      <c r="D299" s="36">
        <v>-0.25395174199999998</v>
      </c>
      <c r="E299" s="36">
        <v>0.20791180000000001</v>
      </c>
      <c r="F299" s="35"/>
      <c r="G299" s="35"/>
      <c r="H299" s="35"/>
      <c r="I299" s="36"/>
    </row>
    <row r="300" spans="2:9" x14ac:dyDescent="0.25">
      <c r="B300" s="35">
        <v>77.25</v>
      </c>
      <c r="C300" s="123">
        <v>0</v>
      </c>
      <c r="D300" s="36">
        <v>-0.25687494579999998</v>
      </c>
      <c r="E300" s="36">
        <v>0.21019699999999999</v>
      </c>
      <c r="F300" s="35"/>
      <c r="G300" s="35"/>
      <c r="H300" s="35"/>
      <c r="I300" s="36"/>
    </row>
    <row r="301" spans="2:9" x14ac:dyDescent="0.25">
      <c r="B301" s="35">
        <v>77.5</v>
      </c>
      <c r="C301" s="123">
        <v>0</v>
      </c>
      <c r="D301" s="36">
        <v>-0.25979444670000001</v>
      </c>
      <c r="E301" s="36">
        <v>0.2124771</v>
      </c>
      <c r="F301" s="35"/>
      <c r="G301" s="35"/>
      <c r="H301" s="35"/>
      <c r="I301" s="36"/>
    </row>
    <row r="302" spans="2:9" x14ac:dyDescent="0.25">
      <c r="B302" s="35">
        <v>77.75</v>
      </c>
      <c r="C302" s="123">
        <v>0</v>
      </c>
      <c r="D302" s="36">
        <v>-0.26270999509999998</v>
      </c>
      <c r="E302" s="36">
        <v>0.2147521</v>
      </c>
      <c r="F302" s="35"/>
      <c r="G302" s="35"/>
      <c r="H302" s="35"/>
      <c r="I302" s="36"/>
    </row>
    <row r="303" spans="2:9" x14ac:dyDescent="0.25">
      <c r="B303" s="35">
        <v>78</v>
      </c>
      <c r="C303" s="123">
        <v>0</v>
      </c>
      <c r="D303" s="36">
        <v>-0.2656213516</v>
      </c>
      <c r="E303" s="36">
        <v>0.21702189999999999</v>
      </c>
      <c r="F303" s="35"/>
      <c r="G303" s="35"/>
      <c r="H303" s="35"/>
      <c r="I303" s="36"/>
    </row>
    <row r="304" spans="2:9" x14ac:dyDescent="0.25">
      <c r="B304" s="35">
        <v>78.25</v>
      </c>
      <c r="C304" s="123">
        <v>0</v>
      </c>
      <c r="D304" s="36">
        <v>-0.26852827639999999</v>
      </c>
      <c r="E304" s="36">
        <v>0.2192865</v>
      </c>
      <c r="F304" s="35"/>
      <c r="G304" s="35"/>
      <c r="H304" s="35"/>
      <c r="I304" s="36"/>
    </row>
    <row r="305" spans="2:9" x14ac:dyDescent="0.25">
      <c r="B305" s="35">
        <v>78.5</v>
      </c>
      <c r="C305" s="123">
        <v>0</v>
      </c>
      <c r="D305" s="36">
        <v>-0.2714305112</v>
      </c>
      <c r="E305" s="36">
        <v>0.22154579999999999</v>
      </c>
      <c r="F305" s="35"/>
      <c r="G305" s="35"/>
      <c r="H305" s="35"/>
      <c r="I305" s="36"/>
    </row>
    <row r="306" spans="2:9" x14ac:dyDescent="0.25">
      <c r="B306" s="35">
        <v>78.75</v>
      </c>
      <c r="C306" s="123">
        <v>0</v>
      </c>
      <c r="D306" s="36">
        <v>-0.27432780130000001</v>
      </c>
      <c r="E306" s="36">
        <v>0.22379979999999999</v>
      </c>
      <c r="F306" s="35"/>
      <c r="G306" s="35"/>
      <c r="H306" s="35"/>
      <c r="I306" s="36"/>
    </row>
    <row r="307" spans="2:9" x14ac:dyDescent="0.25">
      <c r="B307" s="35">
        <v>79</v>
      </c>
      <c r="C307" s="123">
        <v>0</v>
      </c>
      <c r="D307" s="36">
        <v>-0.2772199024</v>
      </c>
      <c r="E307" s="36">
        <v>0.22604840000000001</v>
      </c>
      <c r="F307" s="35"/>
      <c r="G307" s="35"/>
      <c r="H307" s="35"/>
      <c r="I307" s="36"/>
    </row>
    <row r="308" spans="2:9" x14ac:dyDescent="0.25">
      <c r="B308" s="35">
        <v>79.25</v>
      </c>
      <c r="C308" s="123">
        <v>0</v>
      </c>
      <c r="D308" s="36">
        <v>-0.2801065747</v>
      </c>
      <c r="E308" s="36">
        <v>0.22829179999999999</v>
      </c>
      <c r="F308" s="35"/>
      <c r="G308" s="35"/>
      <c r="H308" s="35"/>
      <c r="I308" s="36"/>
    </row>
    <row r="309" spans="2:9" x14ac:dyDescent="0.25">
      <c r="B309" s="35">
        <v>79.5</v>
      </c>
      <c r="C309" s="123">
        <v>0</v>
      </c>
      <c r="D309" s="36">
        <v>-0.28298757930000001</v>
      </c>
      <c r="E309" s="36">
        <v>0.23052980000000001</v>
      </c>
      <c r="F309" s="35"/>
      <c r="G309" s="35"/>
      <c r="H309" s="35"/>
      <c r="I309" s="36"/>
    </row>
    <row r="310" spans="2:9" x14ac:dyDescent="0.25">
      <c r="B310" s="35">
        <v>79.75</v>
      </c>
      <c r="C310" s="123">
        <v>0</v>
      </c>
      <c r="D310" s="36">
        <v>-0.28586268320000002</v>
      </c>
      <c r="E310" s="36">
        <v>0.23276240000000001</v>
      </c>
      <c r="F310" s="35"/>
      <c r="G310" s="35"/>
      <c r="H310" s="35"/>
      <c r="I310" s="36"/>
    </row>
    <row r="311" spans="2:9" x14ac:dyDescent="0.25">
      <c r="B311" s="35">
        <v>80</v>
      </c>
      <c r="C311" s="123">
        <v>0</v>
      </c>
      <c r="D311" s="36">
        <v>-0.2887316607</v>
      </c>
      <c r="E311" s="36">
        <v>0.2349897</v>
      </c>
      <c r="F311" s="35"/>
      <c r="G311" s="35"/>
      <c r="H311" s="35"/>
      <c r="I311" s="36"/>
    </row>
    <row r="312" spans="2:9" x14ac:dyDescent="0.25">
      <c r="B312" s="35">
        <v>80.25</v>
      </c>
      <c r="C312" s="123">
        <v>0</v>
      </c>
      <c r="D312" s="36">
        <v>-0.29159430510000001</v>
      </c>
      <c r="E312" s="36">
        <v>0.2372117</v>
      </c>
      <c r="F312" s="35"/>
      <c r="G312" s="35"/>
      <c r="H312" s="35"/>
      <c r="I312" s="36"/>
    </row>
    <row r="313" spans="2:9" x14ac:dyDescent="0.25">
      <c r="B313" s="35">
        <v>80.5</v>
      </c>
      <c r="C313" s="123">
        <v>0</v>
      </c>
      <c r="D313" s="36">
        <v>-0.29445047470000002</v>
      </c>
      <c r="E313" s="36">
        <v>0.23942840000000001</v>
      </c>
      <c r="F313" s="35"/>
      <c r="G313" s="35"/>
      <c r="H313" s="35"/>
      <c r="I313" s="36"/>
    </row>
    <row r="314" spans="2:9" x14ac:dyDescent="0.25">
      <c r="B314" s="35">
        <v>80.75</v>
      </c>
      <c r="C314" s="123">
        <v>0</v>
      </c>
      <c r="D314" s="36">
        <v>-0.29730004599999998</v>
      </c>
      <c r="E314" s="36">
        <v>0.24163970000000001</v>
      </c>
      <c r="F314" s="35"/>
      <c r="G314" s="35"/>
      <c r="H314" s="35"/>
      <c r="I314" s="36"/>
    </row>
    <row r="315" spans="2:9" x14ac:dyDescent="0.25">
      <c r="B315" s="35">
        <v>81</v>
      </c>
      <c r="C315" s="123">
        <v>0</v>
      </c>
      <c r="D315" s="36">
        <v>-0.30014290040000002</v>
      </c>
      <c r="E315" s="36">
        <v>0.2438457</v>
      </c>
      <c r="F315" s="35"/>
      <c r="G315" s="35"/>
      <c r="H315" s="35"/>
      <c r="I315" s="36"/>
    </row>
    <row r="316" spans="2:9" x14ac:dyDescent="0.25">
      <c r="B316" s="35">
        <v>81.25</v>
      </c>
      <c r="C316" s="123">
        <v>0</v>
      </c>
      <c r="D316" s="36">
        <v>-0.30297892739999999</v>
      </c>
      <c r="E316" s="36">
        <v>0.2460463</v>
      </c>
      <c r="F316" s="35"/>
      <c r="G316" s="35"/>
      <c r="H316" s="35"/>
      <c r="I316" s="36"/>
    </row>
    <row r="317" spans="2:9" x14ac:dyDescent="0.25">
      <c r="B317" s="35">
        <v>81.5</v>
      </c>
      <c r="C317" s="123">
        <v>0</v>
      </c>
      <c r="D317" s="36">
        <v>-0.3058080339</v>
      </c>
      <c r="E317" s="36">
        <v>0.24824160000000001</v>
      </c>
      <c r="F317" s="35"/>
      <c r="G317" s="35"/>
      <c r="H317" s="35"/>
      <c r="I317" s="36"/>
    </row>
    <row r="318" spans="2:9" x14ac:dyDescent="0.25">
      <c r="B318" s="35">
        <v>81.75</v>
      </c>
      <c r="C318" s="123">
        <v>0</v>
      </c>
      <c r="D318" s="36">
        <v>-0.30863012760000003</v>
      </c>
      <c r="E318" s="36">
        <v>0.25043149999999997</v>
      </c>
      <c r="F318" s="35"/>
      <c r="G318" s="35"/>
      <c r="H318" s="35"/>
      <c r="I318" s="36"/>
    </row>
    <row r="319" spans="2:9" x14ac:dyDescent="0.25">
      <c r="B319" s="35">
        <v>82</v>
      </c>
      <c r="C319" s="123">
        <v>0</v>
      </c>
      <c r="D319" s="36">
        <v>-0.31144511679999998</v>
      </c>
      <c r="E319" s="36">
        <v>0.25261610000000001</v>
      </c>
      <c r="F319" s="35"/>
      <c r="G319" s="35"/>
      <c r="H319" s="35"/>
      <c r="I319" s="36"/>
    </row>
    <row r="320" spans="2:9" x14ac:dyDescent="0.25">
      <c r="B320" s="35">
        <v>82.25</v>
      </c>
      <c r="C320" s="123">
        <v>0</v>
      </c>
      <c r="D320" s="36">
        <v>-0.31425291630000002</v>
      </c>
      <c r="E320" s="36">
        <v>0.2547953</v>
      </c>
      <c r="F320" s="35"/>
      <c r="G320" s="35"/>
      <c r="H320" s="35"/>
      <c r="I320" s="36"/>
    </row>
    <row r="321" spans="2:9" x14ac:dyDescent="0.25">
      <c r="B321" s="35">
        <v>82.5</v>
      </c>
      <c r="C321" s="123">
        <v>0</v>
      </c>
      <c r="D321" s="36">
        <v>-0.31705346200000001</v>
      </c>
      <c r="E321" s="36">
        <v>0.256969</v>
      </c>
      <c r="F321" s="35"/>
      <c r="G321" s="35"/>
      <c r="H321" s="35"/>
      <c r="I321" s="36"/>
    </row>
    <row r="322" spans="2:9" x14ac:dyDescent="0.25">
      <c r="B322" s="35">
        <v>82.75</v>
      </c>
      <c r="C322" s="123">
        <v>0</v>
      </c>
      <c r="D322" s="36">
        <v>-0.31984669799999998</v>
      </c>
      <c r="E322" s="36">
        <v>0.25913740000000002</v>
      </c>
      <c r="F322" s="35"/>
      <c r="G322" s="35"/>
      <c r="H322" s="35"/>
      <c r="I322" s="36"/>
    </row>
    <row r="323" spans="2:9" x14ac:dyDescent="0.25">
      <c r="B323" s="35">
        <v>83</v>
      </c>
      <c r="C323" s="123">
        <v>0</v>
      </c>
      <c r="D323" s="36">
        <v>-0.3226325692</v>
      </c>
      <c r="E323" s="36">
        <v>0.26130029999999999</v>
      </c>
      <c r="F323" s="35"/>
      <c r="G323" s="35"/>
      <c r="H323" s="35"/>
      <c r="I323" s="36"/>
    </row>
    <row r="324" spans="2:9" x14ac:dyDescent="0.25">
      <c r="B324" s="35">
        <v>83.25</v>
      </c>
      <c r="C324" s="123">
        <v>0</v>
      </c>
      <c r="D324" s="36">
        <v>-0.32541102659999999</v>
      </c>
      <c r="E324" s="36">
        <v>0.26345780000000002</v>
      </c>
      <c r="F324" s="35"/>
      <c r="G324" s="35"/>
      <c r="H324" s="35"/>
      <c r="I324" s="36"/>
    </row>
    <row r="325" spans="2:9" x14ac:dyDescent="0.25">
      <c r="B325" s="35">
        <v>83.5</v>
      </c>
      <c r="C325" s="123">
        <v>0</v>
      </c>
      <c r="D325" s="36">
        <v>-0.32818204359999997</v>
      </c>
      <c r="E325" s="36">
        <v>0.26560990000000001</v>
      </c>
      <c r="F325" s="35"/>
      <c r="G325" s="35"/>
      <c r="H325" s="35"/>
      <c r="I325" s="36"/>
    </row>
    <row r="326" spans="2:9" x14ac:dyDescent="0.25">
      <c r="B326" s="35">
        <v>83.75</v>
      </c>
      <c r="C326" s="123">
        <v>0</v>
      </c>
      <c r="D326" s="36">
        <v>-0.33094559979999999</v>
      </c>
      <c r="E326" s="36">
        <v>0.26775650000000001</v>
      </c>
      <c r="F326" s="35"/>
      <c r="G326" s="35"/>
      <c r="H326" s="35"/>
      <c r="I326" s="36"/>
    </row>
    <row r="327" spans="2:9" x14ac:dyDescent="0.25">
      <c r="B327" s="35">
        <v>84</v>
      </c>
      <c r="C327" s="123">
        <v>0</v>
      </c>
      <c r="D327" s="36">
        <v>-0.3337016746</v>
      </c>
      <c r="E327" s="36">
        <v>0.26989770000000002</v>
      </c>
      <c r="F327" s="35"/>
      <c r="G327" s="35"/>
      <c r="H327" s="35"/>
      <c r="I327" s="36"/>
    </row>
    <row r="328" spans="2:9" x14ac:dyDescent="0.25">
      <c r="B328" s="35">
        <v>84.25</v>
      </c>
      <c r="C328" s="123">
        <v>0</v>
      </c>
      <c r="D328" s="36">
        <v>-0.33645024909999999</v>
      </c>
      <c r="E328" s="36">
        <v>0.27203329999999998</v>
      </c>
      <c r="F328" s="35"/>
      <c r="G328" s="35"/>
      <c r="H328" s="35"/>
      <c r="I328" s="36"/>
    </row>
    <row r="329" spans="2:9" x14ac:dyDescent="0.25">
      <c r="B329" s="35">
        <v>84.5</v>
      </c>
      <c r="C329" s="123">
        <v>0</v>
      </c>
      <c r="D329" s="36">
        <v>-0.33919130660000002</v>
      </c>
      <c r="E329" s="36">
        <v>0.2741635</v>
      </c>
      <c r="F329" s="35"/>
      <c r="G329" s="35"/>
      <c r="H329" s="35"/>
      <c r="I329" s="36"/>
    </row>
    <row r="330" spans="2:9" x14ac:dyDescent="0.25">
      <c r="B330" s="35">
        <v>84.75</v>
      </c>
      <c r="C330" s="123">
        <v>0</v>
      </c>
      <c r="D330" s="36">
        <v>-0.3419248299</v>
      </c>
      <c r="E330" s="36">
        <v>0.27628819999999998</v>
      </c>
      <c r="F330" s="35"/>
      <c r="G330" s="35"/>
      <c r="H330" s="35"/>
      <c r="I330" s="36"/>
    </row>
    <row r="331" spans="2:9" x14ac:dyDescent="0.25">
      <c r="B331" s="35">
        <v>85</v>
      </c>
      <c r="C331" s="123">
        <v>0</v>
      </c>
      <c r="D331" s="36">
        <v>-0.34465080149999999</v>
      </c>
      <c r="E331" s="36">
        <v>0.27840730000000002</v>
      </c>
      <c r="F331" s="35"/>
      <c r="G331" s="35"/>
      <c r="H331" s="35"/>
      <c r="I331" s="36"/>
    </row>
    <row r="332" spans="2:9" x14ac:dyDescent="0.25">
      <c r="B332" s="35">
        <v>85.25</v>
      </c>
      <c r="C332" s="123">
        <v>0</v>
      </c>
      <c r="D332" s="36">
        <v>-0.34736920939999999</v>
      </c>
      <c r="E332" s="36">
        <v>0.28052090000000002</v>
      </c>
      <c r="F332" s="35"/>
      <c r="G332" s="35"/>
      <c r="H332" s="35"/>
      <c r="I332" s="36"/>
    </row>
    <row r="333" spans="2:9" x14ac:dyDescent="0.25">
      <c r="B333" s="35">
        <v>85.5</v>
      </c>
      <c r="C333" s="123">
        <v>0</v>
      </c>
      <c r="D333" s="36">
        <v>-0.35008006069999997</v>
      </c>
      <c r="E333" s="36">
        <v>0.28262900000000002</v>
      </c>
      <c r="F333" s="35"/>
      <c r="G333" s="35"/>
      <c r="H333" s="35"/>
      <c r="I333" s="36"/>
    </row>
    <row r="334" spans="2:9" x14ac:dyDescent="0.25">
      <c r="B334" s="35">
        <v>85.75</v>
      </c>
      <c r="C334" s="123">
        <v>0</v>
      </c>
      <c r="D334" s="36">
        <v>-0.35278336719999998</v>
      </c>
      <c r="E334" s="36">
        <v>0.28473140000000002</v>
      </c>
      <c r="F334" s="35"/>
      <c r="G334" s="35"/>
      <c r="H334" s="35"/>
      <c r="I334" s="36"/>
    </row>
    <row r="335" spans="2:9" x14ac:dyDescent="0.25">
      <c r="B335" s="35">
        <v>86</v>
      </c>
      <c r="C335" s="123">
        <v>0</v>
      </c>
      <c r="D335" s="36">
        <v>-0.35547914209999998</v>
      </c>
      <c r="E335" s="36">
        <v>0.28682829999999998</v>
      </c>
      <c r="F335" s="35"/>
      <c r="G335" s="35"/>
      <c r="H335" s="35"/>
      <c r="I335" s="36"/>
    </row>
    <row r="336" spans="2:9" x14ac:dyDescent="0.25">
      <c r="B336" s="35">
        <v>86.25</v>
      </c>
      <c r="C336" s="123">
        <v>0</v>
      </c>
      <c r="D336" s="36">
        <v>-0.35816740130000002</v>
      </c>
      <c r="E336" s="36">
        <v>0.2889196</v>
      </c>
      <c r="F336" s="35"/>
      <c r="G336" s="35"/>
      <c r="H336" s="35"/>
      <c r="I336" s="36"/>
    </row>
    <row r="337" spans="2:9" x14ac:dyDescent="0.25">
      <c r="B337" s="35">
        <v>86.5</v>
      </c>
      <c r="C337" s="123">
        <v>0</v>
      </c>
      <c r="D337" s="36">
        <v>-0.360848169</v>
      </c>
      <c r="E337" s="36">
        <v>0.29100530000000002</v>
      </c>
      <c r="F337" s="35"/>
      <c r="G337" s="35"/>
      <c r="H337" s="35"/>
      <c r="I337" s="36"/>
    </row>
    <row r="338" spans="2:9" x14ac:dyDescent="0.25">
      <c r="B338" s="35">
        <v>86.75</v>
      </c>
      <c r="C338" s="123">
        <v>0</v>
      </c>
      <c r="D338" s="36">
        <v>-0.36352147130000001</v>
      </c>
      <c r="E338" s="36">
        <v>0.2930854</v>
      </c>
      <c r="F338" s="35"/>
      <c r="G338" s="35"/>
      <c r="H338" s="35"/>
      <c r="I338" s="36"/>
    </row>
    <row r="339" spans="2:9" x14ac:dyDescent="0.25">
      <c r="B339" s="35">
        <v>87</v>
      </c>
      <c r="C339" s="123">
        <v>0</v>
      </c>
      <c r="D339" s="36">
        <v>-0.36618733380000001</v>
      </c>
      <c r="E339" s="36">
        <v>0.29515989999999998</v>
      </c>
      <c r="F339" s="35"/>
      <c r="G339" s="35"/>
      <c r="H339" s="35"/>
      <c r="I339" s="36"/>
    </row>
    <row r="340" spans="2:9" x14ac:dyDescent="0.25">
      <c r="B340" s="35">
        <v>87.25</v>
      </c>
      <c r="C340" s="123">
        <v>0</v>
      </c>
      <c r="D340" s="36">
        <v>-0.3688457819</v>
      </c>
      <c r="E340" s="36">
        <v>0.29722880000000002</v>
      </c>
      <c r="F340" s="35"/>
      <c r="G340" s="35"/>
      <c r="H340" s="35"/>
      <c r="I340" s="36"/>
    </row>
    <row r="341" spans="2:9" x14ac:dyDescent="0.25">
      <c r="B341" s="35">
        <v>87.5</v>
      </c>
      <c r="C341" s="123">
        <v>0</v>
      </c>
      <c r="D341" s="36">
        <v>-0.37149684240000003</v>
      </c>
      <c r="E341" s="36">
        <v>0.29929210000000001</v>
      </c>
      <c r="F341" s="35"/>
      <c r="G341" s="35"/>
      <c r="H341" s="35"/>
      <c r="I341" s="36"/>
    </row>
    <row r="342" spans="2:9" x14ac:dyDescent="0.25">
      <c r="B342" s="35">
        <v>87.75</v>
      </c>
      <c r="C342" s="123">
        <v>0</v>
      </c>
      <c r="D342" s="36">
        <v>-0.37414054130000002</v>
      </c>
      <c r="E342" s="36">
        <v>0.3013498</v>
      </c>
      <c r="F342" s="35"/>
      <c r="G342" s="35"/>
      <c r="H342" s="35"/>
      <c r="I342" s="36"/>
    </row>
    <row r="343" spans="2:9" x14ac:dyDescent="0.25">
      <c r="B343" s="35">
        <v>88</v>
      </c>
      <c r="C343" s="123">
        <v>0</v>
      </c>
      <c r="D343" s="36">
        <v>-0.37677690380000001</v>
      </c>
      <c r="E343" s="36">
        <v>0.3034018</v>
      </c>
      <c r="F343" s="35"/>
      <c r="G343" s="35"/>
      <c r="H343" s="35"/>
      <c r="I343" s="36"/>
    </row>
    <row r="344" spans="2:9" x14ac:dyDescent="0.25">
      <c r="B344" s="35">
        <v>88.25</v>
      </c>
      <c r="C344" s="123">
        <v>0</v>
      </c>
      <c r="D344" s="36">
        <v>-0.3794059575</v>
      </c>
      <c r="E344" s="36">
        <v>0.3054482</v>
      </c>
      <c r="F344" s="35"/>
      <c r="G344" s="35"/>
      <c r="H344" s="35"/>
      <c r="I344" s="36"/>
    </row>
    <row r="345" spans="2:9" x14ac:dyDescent="0.25">
      <c r="B345" s="35">
        <v>88.5</v>
      </c>
      <c r="C345" s="123">
        <v>0</v>
      </c>
      <c r="D345" s="36">
        <v>-0.38202773979999999</v>
      </c>
      <c r="E345" s="36">
        <v>0.30748900000000001</v>
      </c>
      <c r="F345" s="35"/>
      <c r="G345" s="35"/>
      <c r="H345" s="35"/>
      <c r="I345" s="36"/>
    </row>
    <row r="346" spans="2:9" x14ac:dyDescent="0.25">
      <c r="B346" s="35">
        <v>88.75</v>
      </c>
      <c r="C346" s="123">
        <v>0</v>
      </c>
      <c r="D346" s="36">
        <v>-0.38464229039999998</v>
      </c>
      <c r="E346" s="36">
        <v>0.30952410000000002</v>
      </c>
      <c r="F346" s="35"/>
      <c r="G346" s="35"/>
      <c r="H346" s="35"/>
      <c r="I346" s="36"/>
    </row>
    <row r="347" spans="2:9" x14ac:dyDescent="0.25">
      <c r="B347" s="35">
        <v>89</v>
      </c>
      <c r="C347" s="123">
        <v>0</v>
      </c>
      <c r="D347" s="36">
        <v>-0.38724964750000002</v>
      </c>
      <c r="E347" s="36">
        <v>0.31155359999999999</v>
      </c>
      <c r="F347" s="35"/>
      <c r="G347" s="35"/>
      <c r="H347" s="35"/>
      <c r="I347" s="36"/>
    </row>
    <row r="348" spans="2:9" x14ac:dyDescent="0.25">
      <c r="B348" s="35">
        <v>89.25</v>
      </c>
      <c r="C348" s="123">
        <v>0</v>
      </c>
      <c r="D348" s="36">
        <v>-0.38984984389999999</v>
      </c>
      <c r="E348" s="36">
        <v>0.31357750000000001</v>
      </c>
      <c r="F348" s="35"/>
      <c r="G348" s="35"/>
      <c r="H348" s="35"/>
      <c r="I348" s="36"/>
    </row>
    <row r="349" spans="2:9" x14ac:dyDescent="0.25">
      <c r="B349" s="35">
        <v>89.5</v>
      </c>
      <c r="C349" s="123">
        <v>0</v>
      </c>
      <c r="D349" s="36">
        <v>-0.39244290939999998</v>
      </c>
      <c r="E349" s="36">
        <v>0.31559569999999998</v>
      </c>
      <c r="F349" s="35"/>
      <c r="G349" s="35"/>
      <c r="H349" s="35"/>
      <c r="I349" s="36"/>
    </row>
    <row r="350" spans="2:9" x14ac:dyDescent="0.25">
      <c r="B350" s="35">
        <v>89.75</v>
      </c>
      <c r="C350" s="123">
        <v>0</v>
      </c>
      <c r="D350" s="36">
        <v>-0.39502887060000003</v>
      </c>
      <c r="E350" s="36">
        <v>0.31760840000000001</v>
      </c>
      <c r="F350" s="35"/>
      <c r="G350" s="35"/>
      <c r="H350" s="35"/>
      <c r="I350" s="36"/>
    </row>
    <row r="351" spans="2:9" x14ac:dyDescent="0.25">
      <c r="B351" s="35">
        <v>90</v>
      </c>
      <c r="C351" s="123">
        <v>0</v>
      </c>
      <c r="D351" s="36">
        <v>-0.3976077522</v>
      </c>
      <c r="E351" s="36">
        <v>0.3196155</v>
      </c>
      <c r="F351" s="35"/>
      <c r="G351" s="35"/>
      <c r="H351" s="35"/>
      <c r="I351" s="36"/>
    </row>
    <row r="352" spans="2:9" x14ac:dyDescent="0.25">
      <c r="B352" s="35">
        <v>90.25</v>
      </c>
      <c r="C352" s="123">
        <v>0</v>
      </c>
      <c r="D352" s="36">
        <v>-0.40017957879999999</v>
      </c>
      <c r="E352" s="36">
        <v>0.32161709999999999</v>
      </c>
      <c r="F352" s="35"/>
      <c r="G352" s="35"/>
      <c r="H352" s="35"/>
      <c r="I352" s="36"/>
    </row>
    <row r="353" spans="2:9" x14ac:dyDescent="0.25">
      <c r="B353" s="35">
        <v>90.5</v>
      </c>
      <c r="C353" s="123">
        <v>0</v>
      </c>
      <c r="D353" s="36">
        <v>-0.40274438029999998</v>
      </c>
      <c r="E353" s="36">
        <v>0.32361309999999999</v>
      </c>
      <c r="F353" s="35"/>
      <c r="G353" s="35"/>
      <c r="H353" s="35"/>
      <c r="I353" s="36"/>
    </row>
    <row r="354" spans="2:9" x14ac:dyDescent="0.25">
      <c r="B354" s="35">
        <v>90.75</v>
      </c>
      <c r="C354" s="123">
        <v>0</v>
      </c>
      <c r="D354" s="36">
        <v>-0.40530218740000001</v>
      </c>
      <c r="E354" s="36">
        <v>0.32560359999999999</v>
      </c>
      <c r="F354" s="35"/>
      <c r="G354" s="35"/>
      <c r="H354" s="35"/>
      <c r="I354" s="36"/>
    </row>
    <row r="355" spans="2:9" x14ac:dyDescent="0.25">
      <c r="B355" s="35">
        <v>91</v>
      </c>
      <c r="C355" s="123">
        <v>0</v>
      </c>
      <c r="D355" s="36">
        <v>-0.40785303109999999</v>
      </c>
      <c r="E355" s="36">
        <v>0.32758870000000001</v>
      </c>
      <c r="F355" s="35"/>
      <c r="G355" s="35"/>
      <c r="H355" s="35"/>
      <c r="I355" s="36"/>
    </row>
    <row r="356" spans="2:9" x14ac:dyDescent="0.25">
      <c r="B356" s="35">
        <v>91.25</v>
      </c>
      <c r="C356" s="123">
        <v>0</v>
      </c>
      <c r="D356" s="36">
        <v>-0.4103969415</v>
      </c>
      <c r="E356" s="36">
        <v>0.32956829999999998</v>
      </c>
      <c r="F356" s="35"/>
      <c r="G356" s="35"/>
      <c r="H356" s="35"/>
      <c r="I356" s="36"/>
    </row>
    <row r="357" spans="2:9" x14ac:dyDescent="0.25">
      <c r="B357" s="35">
        <v>91.5</v>
      </c>
      <c r="C357" s="123">
        <v>0</v>
      </c>
      <c r="D357" s="36">
        <v>-0.41293394789999999</v>
      </c>
      <c r="E357" s="36">
        <v>0.33154240000000001</v>
      </c>
      <c r="F357" s="35"/>
      <c r="G357" s="35"/>
      <c r="H357" s="35"/>
      <c r="I357" s="36"/>
    </row>
    <row r="358" spans="2:9" x14ac:dyDescent="0.25">
      <c r="B358" s="35">
        <v>91.75</v>
      </c>
      <c r="C358" s="123">
        <v>0</v>
      </c>
      <c r="D358" s="36">
        <v>-0.41546407899999999</v>
      </c>
      <c r="E358" s="36">
        <v>0.33351120000000001</v>
      </c>
      <c r="F358" s="35"/>
      <c r="G358" s="35"/>
      <c r="H358" s="35"/>
      <c r="I358" s="36"/>
    </row>
    <row r="359" spans="2:9" x14ac:dyDescent="0.25">
      <c r="B359" s="35">
        <v>92</v>
      </c>
      <c r="C359" s="123">
        <v>0</v>
      </c>
      <c r="D359" s="36">
        <v>-0.41798736339999998</v>
      </c>
      <c r="E359" s="36">
        <v>0.33547470000000001</v>
      </c>
      <c r="F359" s="35"/>
      <c r="G359" s="35"/>
      <c r="H359" s="35"/>
      <c r="I359" s="36"/>
    </row>
    <row r="360" spans="2:9" x14ac:dyDescent="0.25">
      <c r="B360" s="35">
        <v>92.25</v>
      </c>
      <c r="C360" s="123">
        <v>0</v>
      </c>
      <c r="D360" s="36">
        <v>-0.4205038304</v>
      </c>
      <c r="E360" s="36">
        <v>0.33743279999999998</v>
      </c>
      <c r="F360" s="35"/>
      <c r="G360" s="35"/>
      <c r="H360" s="35"/>
      <c r="I360" s="36"/>
    </row>
    <row r="361" spans="2:9" x14ac:dyDescent="0.25">
      <c r="B361" s="35">
        <v>92.5</v>
      </c>
      <c r="C361" s="123">
        <v>0</v>
      </c>
      <c r="D361" s="36">
        <v>-0.42301351240000001</v>
      </c>
      <c r="E361" s="36">
        <v>0.33938560000000001</v>
      </c>
      <c r="F361" s="35"/>
      <c r="G361" s="35"/>
      <c r="H361" s="35"/>
      <c r="I361" s="36"/>
    </row>
    <row r="362" spans="2:9" x14ac:dyDescent="0.25">
      <c r="B362" s="35">
        <v>92.75</v>
      </c>
      <c r="C362" s="123">
        <v>0</v>
      </c>
      <c r="D362" s="36">
        <v>-0.42551644239999997</v>
      </c>
      <c r="E362" s="36">
        <v>0.3413332</v>
      </c>
      <c r="F362" s="35"/>
      <c r="G362" s="35"/>
      <c r="H362" s="35"/>
      <c r="I362" s="36"/>
    </row>
    <row r="363" spans="2:9" x14ac:dyDescent="0.25">
      <c r="B363" s="35">
        <v>93</v>
      </c>
      <c r="C363" s="123">
        <v>0</v>
      </c>
      <c r="D363" s="36">
        <v>-0.42801265319999998</v>
      </c>
      <c r="E363" s="36">
        <v>0.34327540000000001</v>
      </c>
      <c r="F363" s="35"/>
      <c r="G363" s="35"/>
      <c r="H363" s="35"/>
      <c r="I363" s="36"/>
    </row>
    <row r="364" spans="2:9" x14ac:dyDescent="0.25">
      <c r="B364" s="35">
        <v>93.25</v>
      </c>
      <c r="C364" s="123">
        <v>0</v>
      </c>
      <c r="D364" s="36">
        <v>-0.43050217740000002</v>
      </c>
      <c r="E364" s="36">
        <v>0.34521249999999998</v>
      </c>
      <c r="F364" s="35"/>
      <c r="G364" s="35"/>
      <c r="H364" s="35"/>
      <c r="I364" s="36"/>
    </row>
    <row r="365" spans="2:9" x14ac:dyDescent="0.25">
      <c r="B365" s="35">
        <v>93.5</v>
      </c>
      <c r="C365" s="123">
        <v>0</v>
      </c>
      <c r="D365" s="36">
        <v>-0.43298504710000002</v>
      </c>
      <c r="E365" s="36">
        <v>0.34714440000000002</v>
      </c>
      <c r="F365" s="35"/>
      <c r="G365" s="35"/>
      <c r="H365" s="35"/>
      <c r="I365" s="36"/>
    </row>
    <row r="366" spans="2:9" x14ac:dyDescent="0.25">
      <c r="B366" s="35">
        <v>93.75</v>
      </c>
      <c r="C366" s="123">
        <v>0</v>
      </c>
      <c r="D366" s="36">
        <v>-0.43546129449999998</v>
      </c>
      <c r="E366" s="36">
        <v>0.34907110000000002</v>
      </c>
      <c r="F366" s="35"/>
      <c r="G366" s="35"/>
      <c r="H366" s="35"/>
      <c r="I366" s="36"/>
    </row>
    <row r="367" spans="2:9" x14ac:dyDescent="0.25">
      <c r="B367" s="35">
        <v>94</v>
      </c>
      <c r="C367" s="123">
        <v>0</v>
      </c>
      <c r="D367" s="36">
        <v>-0.43793095139999999</v>
      </c>
      <c r="E367" s="36">
        <v>0.35099269999999999</v>
      </c>
      <c r="F367" s="35"/>
      <c r="G367" s="35"/>
      <c r="H367" s="35"/>
      <c r="I367" s="36"/>
    </row>
    <row r="368" spans="2:9" x14ac:dyDescent="0.25">
      <c r="B368" s="35">
        <v>94.25</v>
      </c>
      <c r="C368" s="123">
        <v>0</v>
      </c>
      <c r="D368" s="36">
        <v>-0.44039404970000001</v>
      </c>
      <c r="E368" s="36">
        <v>0.35290919999999998</v>
      </c>
      <c r="F368" s="35"/>
      <c r="G368" s="35"/>
      <c r="H368" s="35"/>
      <c r="I368" s="36"/>
    </row>
    <row r="369" spans="2:9" x14ac:dyDescent="0.25">
      <c r="B369" s="35">
        <v>94.5</v>
      </c>
      <c r="C369" s="123">
        <v>0</v>
      </c>
      <c r="D369" s="36">
        <v>-0.44285062380000001</v>
      </c>
      <c r="E369" s="36">
        <v>0.35482059999999999</v>
      </c>
      <c r="F369" s="35"/>
      <c r="G369" s="35"/>
      <c r="H369" s="35"/>
      <c r="I369" s="36"/>
    </row>
    <row r="370" spans="2:9" x14ac:dyDescent="0.25">
      <c r="B370" s="35">
        <v>94.75</v>
      </c>
      <c r="C370" s="123">
        <v>0</v>
      </c>
      <c r="D370" s="36">
        <v>-0.44530070779999997</v>
      </c>
      <c r="E370" s="36">
        <v>0.35672700000000002</v>
      </c>
      <c r="F370" s="35"/>
      <c r="G370" s="35"/>
      <c r="H370" s="35"/>
      <c r="I370" s="36"/>
    </row>
    <row r="371" spans="2:9" x14ac:dyDescent="0.25">
      <c r="B371" s="35">
        <v>95</v>
      </c>
      <c r="C371" s="123">
        <v>0</v>
      </c>
      <c r="D371" s="36">
        <v>-0.4477443358</v>
      </c>
      <c r="E371" s="36">
        <v>0.35862830000000001</v>
      </c>
      <c r="F371" s="35"/>
      <c r="G371" s="35"/>
      <c r="H371" s="35"/>
      <c r="I371" s="36"/>
    </row>
    <row r="372" spans="2:9" x14ac:dyDescent="0.25">
      <c r="F372" s="35"/>
      <c r="G372" s="35"/>
      <c r="H372" s="35"/>
      <c r="I372" s="36"/>
    </row>
    <row r="373" spans="2:9" x14ac:dyDescent="0.25">
      <c r="F373" s="35"/>
      <c r="G373" s="35"/>
      <c r="H373" s="35"/>
      <c r="I373" s="36"/>
    </row>
    <row r="374" spans="2:9" x14ac:dyDescent="0.25">
      <c r="F374" s="35"/>
      <c r="G374" s="35"/>
      <c r="H374" s="35"/>
      <c r="I374" s="36"/>
    </row>
    <row r="375" spans="2:9" x14ac:dyDescent="0.25">
      <c r="F375" s="35"/>
      <c r="G375" s="35"/>
      <c r="H375" s="35"/>
      <c r="I375" s="36"/>
    </row>
    <row r="376" spans="2:9" x14ac:dyDescent="0.25">
      <c r="F376" s="35"/>
      <c r="G376" s="35"/>
      <c r="H376" s="35"/>
      <c r="I376" s="36"/>
    </row>
    <row r="377" spans="2:9" x14ac:dyDescent="0.25">
      <c r="F377" s="35"/>
      <c r="G377" s="35"/>
      <c r="H377" s="35"/>
      <c r="I377" s="36"/>
    </row>
    <row r="378" spans="2:9" x14ac:dyDescent="0.25">
      <c r="F378" s="35"/>
      <c r="G378" s="35"/>
      <c r="H378" s="35"/>
      <c r="I378" s="36"/>
    </row>
    <row r="379" spans="2:9" x14ac:dyDescent="0.25">
      <c r="F379" s="35"/>
      <c r="G379" s="35"/>
      <c r="H379" s="35"/>
      <c r="I379" s="36"/>
    </row>
    <row r="380" spans="2:9" x14ac:dyDescent="0.25">
      <c r="F380" s="35"/>
      <c r="G380" s="35"/>
      <c r="H380" s="35"/>
      <c r="I380" s="36"/>
    </row>
    <row r="381" spans="2:9" x14ac:dyDescent="0.25">
      <c r="F381" s="35"/>
      <c r="G381" s="35"/>
      <c r="H381" s="35"/>
      <c r="I381" s="36"/>
    </row>
    <row r="382" spans="2:9" x14ac:dyDescent="0.25">
      <c r="F382" s="35"/>
      <c r="G382" s="35"/>
      <c r="H382" s="35"/>
      <c r="I382" s="36"/>
    </row>
    <row r="383" spans="2:9" x14ac:dyDescent="0.25">
      <c r="F383" s="35"/>
      <c r="G383" s="35"/>
      <c r="H383" s="35"/>
      <c r="I383" s="36"/>
    </row>
    <row r="384" spans="2:9" x14ac:dyDescent="0.25">
      <c r="F384" s="35"/>
      <c r="G384" s="35"/>
      <c r="H384" s="35"/>
      <c r="I384" s="36"/>
    </row>
    <row r="385" spans="6:9" x14ac:dyDescent="0.25">
      <c r="F385" s="35"/>
      <c r="G385" s="35"/>
      <c r="H385" s="35"/>
      <c r="I385" s="36"/>
    </row>
    <row r="386" spans="6:9" x14ac:dyDescent="0.25">
      <c r="F386" s="35"/>
      <c r="G386" s="35"/>
      <c r="H386" s="35"/>
      <c r="I386" s="36"/>
    </row>
    <row r="387" spans="6:9" x14ac:dyDescent="0.25">
      <c r="F387" s="35"/>
      <c r="G387" s="35"/>
      <c r="H387" s="35"/>
      <c r="I387" s="36"/>
    </row>
    <row r="388" spans="6:9" x14ac:dyDescent="0.25">
      <c r="F388" s="35"/>
      <c r="G388" s="35"/>
      <c r="H388" s="35"/>
      <c r="I388" s="36"/>
    </row>
    <row r="389" spans="6:9" x14ac:dyDescent="0.25">
      <c r="F389" s="35"/>
      <c r="G389" s="35"/>
      <c r="H389" s="35"/>
      <c r="I389" s="36"/>
    </row>
    <row r="390" spans="6:9" x14ac:dyDescent="0.25">
      <c r="F390" s="35"/>
      <c r="G390" s="35"/>
      <c r="H390" s="35"/>
      <c r="I390" s="36"/>
    </row>
    <row r="391" spans="6:9" x14ac:dyDescent="0.25">
      <c r="F391" s="35"/>
      <c r="G391" s="35"/>
      <c r="H391" s="35"/>
      <c r="I391" s="36"/>
    </row>
    <row r="392" spans="6:9" x14ac:dyDescent="0.25">
      <c r="G392" s="35"/>
      <c r="H392" s="35"/>
      <c r="I392" s="36"/>
    </row>
    <row r="393" spans="6:9" x14ac:dyDescent="0.25">
      <c r="G393" s="35"/>
      <c r="H393" s="35"/>
    </row>
  </sheetData>
  <mergeCells count="11">
    <mergeCell ref="U3:V3"/>
    <mergeCell ref="X3:Y3"/>
    <mergeCell ref="B1:E1"/>
    <mergeCell ref="G1:O1"/>
    <mergeCell ref="Q1:Y1"/>
    <mergeCell ref="H2:O2"/>
    <mergeCell ref="R2:Y2"/>
    <mergeCell ref="H3:I3"/>
    <mergeCell ref="K3:L3"/>
    <mergeCell ref="N3:O3"/>
    <mergeCell ref="R3:S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1DA6-2B6F-42B1-8418-0CB2BBDFAF54}">
  <dimension ref="B1:AK406"/>
  <sheetViews>
    <sheetView workbookViewId="0">
      <selection activeCell="S17" sqref="S17"/>
    </sheetView>
  </sheetViews>
  <sheetFormatPr defaultColWidth="9.109375" defaultRowHeight="12" x14ac:dyDescent="0.25"/>
  <cols>
    <col min="1" max="1" width="9.109375" style="1"/>
    <col min="2" max="2" width="5.6640625" style="7" customWidth="1"/>
    <col min="3" max="3" width="9.109375" style="7"/>
    <col min="4" max="5" width="9.109375" style="96"/>
    <col min="6" max="6" width="9.109375" style="1"/>
    <col min="7" max="7" width="11.33203125" style="1" customWidth="1"/>
    <col min="8" max="8" width="9.109375" style="1"/>
    <col min="9" max="9" width="9.109375" style="89"/>
    <col min="10" max="11" width="9.109375" style="1"/>
    <col min="12" max="12" width="9.109375" style="89"/>
    <col min="13" max="14" width="9.109375" style="1"/>
    <col min="15" max="15" width="9.109375" style="89"/>
    <col min="16" max="16384" width="9.109375" style="1"/>
  </cols>
  <sheetData>
    <row r="1" spans="2:37" ht="15.6" thickTop="1" thickBot="1" x14ac:dyDescent="0.35">
      <c r="B1" s="141" t="s">
        <v>159</v>
      </c>
      <c r="C1" s="142"/>
      <c r="D1" s="142"/>
      <c r="E1" s="143"/>
      <c r="G1" s="141" t="s">
        <v>160</v>
      </c>
      <c r="H1" s="142"/>
      <c r="I1" s="142"/>
      <c r="J1" s="142"/>
      <c r="K1" s="142"/>
      <c r="L1" s="142"/>
      <c r="M1" s="142"/>
      <c r="N1" s="142"/>
      <c r="O1" s="143"/>
      <c r="Q1" s="141" t="s">
        <v>158</v>
      </c>
      <c r="R1" s="142"/>
      <c r="S1" s="142"/>
      <c r="T1" s="142"/>
      <c r="U1" s="142"/>
      <c r="V1" s="142"/>
      <c r="W1" s="142"/>
      <c r="X1" s="142"/>
      <c r="Y1" s="143"/>
    </row>
    <row r="2" spans="2:37" ht="15" thickTop="1" x14ac:dyDescent="0.3">
      <c r="B2" s="35" t="s">
        <v>0</v>
      </c>
      <c r="C2" s="36" t="s">
        <v>35</v>
      </c>
      <c r="D2" s="36" t="s">
        <v>33</v>
      </c>
      <c r="E2" s="36" t="s">
        <v>34</v>
      </c>
      <c r="G2" s="40"/>
      <c r="H2" s="144" t="s">
        <v>47</v>
      </c>
      <c r="I2" s="145"/>
      <c r="J2" s="145"/>
      <c r="K2" s="145"/>
      <c r="L2" s="145"/>
      <c r="M2" s="145"/>
      <c r="N2" s="146"/>
      <c r="O2" s="147"/>
      <c r="Q2" s="40"/>
      <c r="R2" s="145" t="s">
        <v>47</v>
      </c>
      <c r="S2" s="145"/>
      <c r="T2" s="145"/>
      <c r="U2" s="145"/>
      <c r="V2" s="145"/>
      <c r="W2" s="145"/>
      <c r="X2" s="145"/>
      <c r="Y2" s="148"/>
      <c r="Z2" s="12"/>
      <c r="AB2" s="12"/>
      <c r="AC2" s="12"/>
      <c r="AD2" s="12"/>
      <c r="AE2" s="12"/>
      <c r="AF2" s="12"/>
      <c r="AH2" s="12"/>
      <c r="AI2" s="12"/>
      <c r="AJ2" s="12"/>
      <c r="AK2" s="12"/>
    </row>
    <row r="3" spans="2:37" ht="14.4" x14ac:dyDescent="0.25">
      <c r="B3" s="35">
        <v>3</v>
      </c>
      <c r="C3" s="123">
        <v>0</v>
      </c>
      <c r="D3" s="36">
        <v>-4.42723353E-2</v>
      </c>
      <c r="E3" s="36">
        <v>3.0530597900000001E-2</v>
      </c>
      <c r="G3" s="42"/>
      <c r="H3" s="137" t="s">
        <v>41</v>
      </c>
      <c r="I3" s="138"/>
      <c r="K3" s="137" t="s">
        <v>42</v>
      </c>
      <c r="L3" s="138"/>
      <c r="N3" s="139" t="s">
        <v>43</v>
      </c>
      <c r="O3" s="140"/>
      <c r="Q3" s="41"/>
      <c r="R3" s="137" t="s">
        <v>33</v>
      </c>
      <c r="S3" s="138"/>
      <c r="U3" s="137" t="s">
        <v>34</v>
      </c>
      <c r="V3" s="138"/>
      <c r="X3" s="137" t="s">
        <v>35</v>
      </c>
      <c r="Y3" s="138"/>
      <c r="Z3" s="12"/>
      <c r="AB3" s="12"/>
      <c r="AC3" s="12"/>
      <c r="AD3" s="12"/>
      <c r="AE3" s="12"/>
      <c r="AF3" s="12"/>
      <c r="AH3" s="12"/>
      <c r="AI3" s="12"/>
      <c r="AJ3" s="12"/>
      <c r="AK3" s="12"/>
    </row>
    <row r="4" spans="2:37" x14ac:dyDescent="0.25">
      <c r="B4" s="35">
        <v>3.25</v>
      </c>
      <c r="C4" s="123">
        <v>0</v>
      </c>
      <c r="D4" s="36">
        <v>-3.9727786600000002E-2</v>
      </c>
      <c r="E4" s="36">
        <v>3.5884050899999999E-2</v>
      </c>
      <c r="G4" s="70" t="s">
        <v>1</v>
      </c>
      <c r="H4" s="49" t="s">
        <v>2</v>
      </c>
      <c r="I4" s="88">
        <v>0.55055900000000002</v>
      </c>
      <c r="K4" s="51" t="s">
        <v>27</v>
      </c>
      <c r="L4" s="88">
        <v>-3.2394799999999999</v>
      </c>
      <c r="N4" s="51" t="s">
        <v>31</v>
      </c>
      <c r="O4" s="130">
        <v>7.032</v>
      </c>
      <c r="Q4" s="40" t="s">
        <v>1</v>
      </c>
      <c r="R4" s="43" t="s">
        <v>8</v>
      </c>
      <c r="S4" s="44">
        <v>3.0439999999999998E-2</v>
      </c>
      <c r="T4" s="45"/>
      <c r="U4" s="46" t="s">
        <v>14</v>
      </c>
      <c r="V4" s="92">
        <v>-0.90180000000000005</v>
      </c>
      <c r="W4" s="2"/>
      <c r="X4" s="43" t="s">
        <v>20</v>
      </c>
      <c r="Y4" s="47">
        <v>0</v>
      </c>
      <c r="Z4" s="12"/>
      <c r="AB4" s="12"/>
      <c r="AC4" s="12"/>
      <c r="AD4" s="12"/>
      <c r="AE4" s="12"/>
      <c r="AF4" s="12"/>
      <c r="AH4" s="12"/>
      <c r="AI4" s="12"/>
      <c r="AJ4" s="12"/>
      <c r="AK4" s="12"/>
    </row>
    <row r="5" spans="2:37" x14ac:dyDescent="0.25">
      <c r="B5" s="35">
        <v>3.5</v>
      </c>
      <c r="C5" s="123">
        <v>0</v>
      </c>
      <c r="D5" s="36">
        <v>-3.5569607400000001E-2</v>
      </c>
      <c r="E5" s="36">
        <v>4.0613458900000003E-2</v>
      </c>
      <c r="G5" s="48" t="s">
        <v>49</v>
      </c>
      <c r="H5" s="49" t="s">
        <v>3</v>
      </c>
      <c r="I5" s="88">
        <v>-0.107805</v>
      </c>
      <c r="K5" s="52"/>
      <c r="L5" s="92"/>
      <c r="N5" s="51"/>
      <c r="O5" s="131"/>
      <c r="Q5" s="41" t="s">
        <v>67</v>
      </c>
      <c r="R5" s="43" t="s">
        <v>9</v>
      </c>
      <c r="S5" s="50">
        <v>0.41770000000000002</v>
      </c>
      <c r="T5" s="45"/>
      <c r="U5" s="46" t="s">
        <v>15</v>
      </c>
      <c r="V5" s="92">
        <v>10.678900000000001</v>
      </c>
      <c r="X5" s="43" t="s">
        <v>21</v>
      </c>
      <c r="Y5" s="47">
        <v>0</v>
      </c>
      <c r="Z5" s="12"/>
      <c r="AB5" s="12"/>
      <c r="AC5" s="12"/>
      <c r="AD5" s="12"/>
      <c r="AE5" s="12"/>
      <c r="AF5" s="12"/>
      <c r="AH5" s="12"/>
      <c r="AI5" s="12"/>
      <c r="AJ5" s="12"/>
      <c r="AK5" s="12"/>
    </row>
    <row r="6" spans="2:37" ht="13.8" x14ac:dyDescent="0.25">
      <c r="B6" s="35">
        <v>3.75</v>
      </c>
      <c r="C6" s="123">
        <v>0</v>
      </c>
      <c r="D6" s="36">
        <v>-3.1834994800000002E-2</v>
      </c>
      <c r="E6" s="36">
        <v>4.4677892699999999E-2</v>
      </c>
      <c r="G6" s="48" t="s">
        <v>48</v>
      </c>
      <c r="H6" s="49" t="s">
        <v>4</v>
      </c>
      <c r="I6" s="88">
        <v>-5.4419000000000002E-2</v>
      </c>
      <c r="K6" s="51" t="s">
        <v>28</v>
      </c>
      <c r="L6" s="88">
        <v>0.18503</v>
      </c>
      <c r="N6" s="51" t="s">
        <v>32</v>
      </c>
      <c r="O6" s="131">
        <v>-1.1970000000000001</v>
      </c>
      <c r="Q6" s="41" t="s">
        <v>68</v>
      </c>
      <c r="R6" s="43" t="s">
        <v>10</v>
      </c>
      <c r="S6" s="44">
        <v>-2.9918</v>
      </c>
      <c r="T6" s="45"/>
      <c r="U6" s="46" t="s">
        <v>16</v>
      </c>
      <c r="V6" s="92">
        <v>-45.832799999999999</v>
      </c>
      <c r="X6" s="43" t="s">
        <v>22</v>
      </c>
      <c r="Y6" s="47">
        <v>0</v>
      </c>
      <c r="Z6" s="12"/>
      <c r="AB6" s="12"/>
      <c r="AC6" s="12"/>
      <c r="AD6" s="12"/>
      <c r="AE6" s="12"/>
      <c r="AF6" s="12"/>
      <c r="AH6" s="12"/>
      <c r="AI6" s="12"/>
      <c r="AJ6" s="12"/>
      <c r="AK6" s="12"/>
    </row>
    <row r="7" spans="2:37" ht="13.8" x14ac:dyDescent="0.25">
      <c r="B7" s="35">
        <v>4</v>
      </c>
      <c r="C7" s="123">
        <v>0</v>
      </c>
      <c r="D7" s="36">
        <v>-2.8625248999999998E-2</v>
      </c>
      <c r="E7" s="36">
        <v>4.8013212800000003E-2</v>
      </c>
      <c r="G7" s="48" t="s">
        <v>50</v>
      </c>
      <c r="H7" s="49" t="s">
        <v>5</v>
      </c>
      <c r="I7" s="88">
        <v>5.4860000000000004E-3</v>
      </c>
      <c r="K7" s="51" t="s">
        <v>29</v>
      </c>
      <c r="L7" s="88">
        <v>3.0720000000000001E-2</v>
      </c>
      <c r="N7" s="51" t="s">
        <v>26</v>
      </c>
      <c r="O7" s="103" t="s">
        <v>35</v>
      </c>
      <c r="Q7" s="41" t="s">
        <v>69</v>
      </c>
      <c r="R7" s="43" t="s">
        <v>11</v>
      </c>
      <c r="S7" s="44">
        <v>6.7191999999999998</v>
      </c>
      <c r="T7" s="45"/>
      <c r="U7" s="46" t="s">
        <v>17</v>
      </c>
      <c r="V7" s="92">
        <v>86.730999999999995</v>
      </c>
      <c r="X7" s="43" t="s">
        <v>23</v>
      </c>
      <c r="Y7" s="47">
        <v>0</v>
      </c>
      <c r="Z7" s="12"/>
      <c r="AB7" s="12"/>
      <c r="AC7" s="12"/>
      <c r="AD7" s="12"/>
      <c r="AE7" s="12"/>
      <c r="AF7" s="12"/>
      <c r="AH7" s="12"/>
      <c r="AI7" s="12"/>
      <c r="AJ7" s="12"/>
      <c r="AK7" s="12"/>
    </row>
    <row r="8" spans="2:37" ht="13.8" x14ac:dyDescent="0.25">
      <c r="B8" s="35">
        <v>4.25</v>
      </c>
      <c r="C8" s="123">
        <v>0</v>
      </c>
      <c r="D8" s="36">
        <v>-2.60838654E-2</v>
      </c>
      <c r="E8" s="36">
        <v>5.0568138800000002E-2</v>
      </c>
      <c r="F8" s="4"/>
      <c r="G8" s="48" t="s">
        <v>51</v>
      </c>
      <c r="H8" s="49" t="s">
        <v>6</v>
      </c>
      <c r="I8" s="88">
        <v>8.8199999999999997E-3</v>
      </c>
      <c r="K8" s="51" t="s">
        <v>30</v>
      </c>
      <c r="L8" s="88">
        <v>-0.16403000000000001</v>
      </c>
      <c r="N8" s="51"/>
      <c r="O8" s="88"/>
      <c r="Q8" s="41" t="s">
        <v>70</v>
      </c>
      <c r="R8" s="43" t="s">
        <v>12</v>
      </c>
      <c r="S8" s="44">
        <v>-6.5488999999999997</v>
      </c>
      <c r="T8" s="45"/>
      <c r="U8" s="46" t="s">
        <v>18</v>
      </c>
      <c r="V8" s="92">
        <v>-73.746600000000001</v>
      </c>
      <c r="X8" s="43" t="s">
        <v>24</v>
      </c>
      <c r="Y8" s="47">
        <v>0</v>
      </c>
      <c r="Z8" s="12"/>
      <c r="AB8" s="12"/>
      <c r="AC8" s="12"/>
      <c r="AD8" s="12"/>
      <c r="AE8" s="12"/>
      <c r="AF8" s="12"/>
      <c r="AH8" s="12"/>
      <c r="AI8" s="12"/>
      <c r="AJ8" s="12"/>
      <c r="AK8" s="12"/>
    </row>
    <row r="9" spans="2:37" ht="13.8" x14ac:dyDescent="0.25">
      <c r="B9" s="35">
        <v>4.5</v>
      </c>
      <c r="C9" s="123">
        <v>0</v>
      </c>
      <c r="D9" s="36">
        <v>-2.4353465800000001E-2</v>
      </c>
      <c r="E9" s="36">
        <v>5.2311082299999999E-2</v>
      </c>
      <c r="G9" s="48" t="s">
        <v>52</v>
      </c>
      <c r="H9" s="49" t="s">
        <v>38</v>
      </c>
      <c r="I9" s="88">
        <v>2.8542999999999999E-2</v>
      </c>
      <c r="K9" s="51" t="s">
        <v>44</v>
      </c>
      <c r="L9" s="88">
        <v>-0.15209</v>
      </c>
      <c r="N9" s="51"/>
      <c r="O9" s="88"/>
      <c r="Q9" s="41" t="s">
        <v>71</v>
      </c>
      <c r="R9" s="43" t="s">
        <v>13</v>
      </c>
      <c r="S9" s="44">
        <v>2.3439000000000001</v>
      </c>
      <c r="T9" s="45"/>
      <c r="U9" s="46" t="s">
        <v>19</v>
      </c>
      <c r="V9" s="92">
        <v>23.453700000000001</v>
      </c>
      <c r="X9" s="43" t="s">
        <v>25</v>
      </c>
      <c r="Y9" s="47">
        <v>0</v>
      </c>
      <c r="Z9" s="12"/>
      <c r="AB9" s="12"/>
      <c r="AC9" s="12"/>
      <c r="AD9" s="12"/>
      <c r="AE9" s="12"/>
      <c r="AF9" s="12"/>
      <c r="AH9" s="12"/>
      <c r="AI9" s="12"/>
      <c r="AJ9" s="12"/>
      <c r="AK9" s="12"/>
    </row>
    <row r="10" spans="2:37" ht="13.8" x14ac:dyDescent="0.25">
      <c r="B10" s="35">
        <v>4.75</v>
      </c>
      <c r="C10" s="123">
        <v>0</v>
      </c>
      <c r="D10" s="36">
        <v>-2.3476054E-2</v>
      </c>
      <c r="E10" s="36">
        <v>5.32400559E-2</v>
      </c>
      <c r="G10" s="132" t="s">
        <v>171</v>
      </c>
      <c r="H10" s="51" t="s">
        <v>169</v>
      </c>
      <c r="I10" s="88">
        <v>1.06E-2</v>
      </c>
      <c r="K10" s="51" t="s">
        <v>170</v>
      </c>
      <c r="L10" s="88">
        <v>-8.5999999999999993E-2</v>
      </c>
      <c r="N10" s="51"/>
      <c r="O10" s="88"/>
      <c r="Q10" s="41" t="s">
        <v>72</v>
      </c>
      <c r="R10" s="43"/>
      <c r="S10" s="53"/>
      <c r="U10" s="43"/>
      <c r="V10" s="54"/>
      <c r="X10" s="43" t="s">
        <v>39</v>
      </c>
      <c r="Y10" s="55">
        <v>0</v>
      </c>
      <c r="Z10" s="12"/>
      <c r="AB10" s="12"/>
      <c r="AC10" s="12"/>
      <c r="AD10" s="12"/>
      <c r="AE10" s="12"/>
      <c r="AF10" s="12"/>
      <c r="AH10" s="12"/>
      <c r="AI10" s="12"/>
      <c r="AJ10" s="12"/>
      <c r="AK10" s="12"/>
    </row>
    <row r="11" spans="2:37" ht="13.8" x14ac:dyDescent="0.25">
      <c r="B11" s="35">
        <v>5</v>
      </c>
      <c r="C11" s="123">
        <v>0</v>
      </c>
      <c r="D11" s="36">
        <v>-2.33276231E-2</v>
      </c>
      <c r="E11" s="36">
        <v>5.3393568400000001E-2</v>
      </c>
      <c r="G11" s="56"/>
      <c r="H11" s="57"/>
      <c r="I11" s="95" t="s">
        <v>33</v>
      </c>
      <c r="K11" s="59"/>
      <c r="L11" s="95" t="s">
        <v>34</v>
      </c>
      <c r="N11" s="59"/>
      <c r="O11" s="104"/>
      <c r="Q11" s="64" t="s">
        <v>133</v>
      </c>
      <c r="R11" s="61"/>
      <c r="S11" s="62"/>
      <c r="U11" s="61"/>
      <c r="V11" s="62"/>
      <c r="X11" s="61" t="s">
        <v>40</v>
      </c>
      <c r="Y11" s="63">
        <v>0</v>
      </c>
      <c r="Z11" s="12"/>
      <c r="AB11" s="12"/>
      <c r="AC11" s="12"/>
      <c r="AD11" s="12"/>
      <c r="AE11" s="12"/>
      <c r="AF11" s="12"/>
      <c r="AH11" s="12"/>
      <c r="AI11" s="12"/>
      <c r="AJ11" s="12"/>
      <c r="AK11" s="12"/>
    </row>
    <row r="12" spans="2:37" x14ac:dyDescent="0.25">
      <c r="B12" s="35">
        <v>5.25</v>
      </c>
      <c r="C12" s="123">
        <v>0</v>
      </c>
      <c r="D12" s="36">
        <v>-2.37173387E-2</v>
      </c>
      <c r="E12" s="36">
        <v>5.2780158700000003E-2</v>
      </c>
      <c r="AB12" s="12"/>
      <c r="AC12" s="12"/>
      <c r="AD12" s="12"/>
      <c r="AE12" s="12"/>
      <c r="AF12" s="12"/>
      <c r="AH12" s="12"/>
      <c r="AI12" s="12"/>
      <c r="AJ12" s="12"/>
      <c r="AK12" s="12"/>
    </row>
    <row r="13" spans="2:37" x14ac:dyDescent="0.25">
      <c r="B13" s="35">
        <v>5.5</v>
      </c>
      <c r="C13" s="123">
        <v>0</v>
      </c>
      <c r="D13" s="36">
        <v>-2.4434844099999999E-2</v>
      </c>
      <c r="E13" s="36">
        <v>5.1470168900000002E-2</v>
      </c>
      <c r="P13" s="85"/>
      <c r="Q13" s="35"/>
      <c r="R13" s="35"/>
      <c r="S13" s="35"/>
      <c r="T13" s="35"/>
      <c r="U13" s="85"/>
      <c r="V13" s="35"/>
      <c r="W13" s="35"/>
      <c r="X13" s="35"/>
      <c r="Y13" s="35"/>
      <c r="Z13" s="85"/>
      <c r="AC13" s="12"/>
      <c r="AD13" s="12"/>
      <c r="AE13" s="12"/>
      <c r="AF13" s="12"/>
      <c r="AH13" s="12"/>
      <c r="AI13" s="12"/>
      <c r="AJ13" s="12"/>
      <c r="AK13" s="12"/>
    </row>
    <row r="14" spans="2:37" x14ac:dyDescent="0.25">
      <c r="B14" s="35">
        <v>5.75</v>
      </c>
      <c r="C14" s="123">
        <v>0</v>
      </c>
      <c r="D14" s="36">
        <v>-2.5238047400000001E-2</v>
      </c>
      <c r="E14" s="36">
        <v>4.9578884400000002E-2</v>
      </c>
      <c r="P14" s="85"/>
      <c r="Q14" s="35"/>
      <c r="R14" s="35"/>
      <c r="S14" s="35"/>
      <c r="T14" s="35"/>
      <c r="U14" s="85"/>
      <c r="V14" s="35"/>
      <c r="W14" s="35"/>
      <c r="X14" s="35"/>
      <c r="Y14" s="35"/>
      <c r="Z14" s="85"/>
      <c r="AA14" s="35"/>
      <c r="AB14" s="35"/>
      <c r="AC14" s="12"/>
      <c r="AD14" s="12"/>
      <c r="AE14" s="12"/>
      <c r="AF14" s="12"/>
      <c r="AH14" s="12"/>
      <c r="AI14" s="12"/>
      <c r="AJ14" s="12"/>
      <c r="AK14" s="12"/>
    </row>
    <row r="15" spans="2:37" x14ac:dyDescent="0.25">
      <c r="B15" s="35">
        <v>6</v>
      </c>
      <c r="C15" s="123">
        <v>0</v>
      </c>
      <c r="D15" s="36">
        <v>-2.5892244799999999E-2</v>
      </c>
      <c r="E15" s="36">
        <v>4.7277193100000003E-2</v>
      </c>
      <c r="G15" s="2" t="s">
        <v>147</v>
      </c>
      <c r="O15" s="85"/>
      <c r="P15" s="85"/>
      <c r="Q15" s="35"/>
      <c r="R15" s="35"/>
      <c r="S15" s="35"/>
      <c r="T15" s="35"/>
      <c r="U15" s="85"/>
      <c r="V15" s="35"/>
      <c r="W15" s="35"/>
      <c r="X15" s="35"/>
      <c r="Y15" s="35"/>
      <c r="Z15" s="85"/>
      <c r="AA15" s="35"/>
      <c r="AB15" s="35"/>
      <c r="AC15" s="12"/>
      <c r="AD15" s="12"/>
      <c r="AE15" s="12"/>
      <c r="AF15" s="12"/>
      <c r="AH15" s="12"/>
      <c r="AI15" s="12"/>
      <c r="AJ15" s="12"/>
      <c r="AK15" s="12"/>
    </row>
    <row r="16" spans="2:37" x14ac:dyDescent="0.25">
      <c r="B16" s="35">
        <v>6.25</v>
      </c>
      <c r="C16" s="123">
        <v>0</v>
      </c>
      <c r="D16" s="36">
        <v>-2.6185757099999998E-2</v>
      </c>
      <c r="E16" s="36">
        <v>4.4780797599999998E-2</v>
      </c>
      <c r="G16" s="1" t="s">
        <v>74</v>
      </c>
      <c r="O16" s="85"/>
      <c r="P16" s="85"/>
      <c r="Q16" s="35"/>
      <c r="R16" s="35"/>
      <c r="S16" s="35"/>
      <c r="T16" s="35"/>
      <c r="U16" s="85"/>
      <c r="V16" s="35"/>
      <c r="W16" s="35"/>
      <c r="X16" s="35"/>
      <c r="Y16" s="35"/>
      <c r="Z16" s="85"/>
      <c r="AA16" s="35"/>
      <c r="AB16" s="35"/>
      <c r="AC16" s="12"/>
      <c r="AD16" s="12"/>
      <c r="AE16" s="12"/>
      <c r="AF16" s="12"/>
      <c r="AH16" s="12"/>
      <c r="AI16" s="12"/>
      <c r="AJ16" s="12"/>
      <c r="AK16" s="12"/>
    </row>
    <row r="17" spans="2:37" x14ac:dyDescent="0.25">
      <c r="B17" s="35">
        <v>6.5</v>
      </c>
      <c r="C17" s="123">
        <v>0</v>
      </c>
      <c r="D17" s="36">
        <v>-2.59976874E-2</v>
      </c>
      <c r="E17" s="36">
        <v>4.22829464E-2</v>
      </c>
      <c r="G17" s="1" t="s">
        <v>73</v>
      </c>
      <c r="O17" s="85"/>
      <c r="P17" s="85"/>
      <c r="Q17" s="35"/>
      <c r="R17" s="35"/>
      <c r="S17" s="35"/>
      <c r="T17" s="35"/>
      <c r="U17" s="85"/>
      <c r="V17" s="35"/>
      <c r="W17" s="35"/>
      <c r="X17" s="35"/>
      <c r="Y17" s="35"/>
      <c r="Z17" s="85"/>
      <c r="AA17" s="35"/>
      <c r="AB17" s="35"/>
      <c r="AC17" s="12"/>
      <c r="AD17" s="12"/>
      <c r="AE17" s="12"/>
      <c r="AF17" s="12"/>
      <c r="AH17" s="12"/>
      <c r="AI17" s="12"/>
      <c r="AJ17" s="12"/>
      <c r="AK17" s="12"/>
    </row>
    <row r="18" spans="2:37" ht="13.8" x14ac:dyDescent="0.25">
      <c r="B18" s="35">
        <v>6.75</v>
      </c>
      <c r="C18" s="123">
        <v>0</v>
      </c>
      <c r="D18" s="36">
        <v>-2.5332868500000001E-2</v>
      </c>
      <c r="E18" s="36">
        <v>3.9890053299999999E-2</v>
      </c>
      <c r="G18" s="1" t="s">
        <v>37</v>
      </c>
      <c r="O18" s="85"/>
      <c r="P18" s="85"/>
      <c r="Q18" s="35"/>
      <c r="R18" s="35"/>
      <c r="S18" s="35"/>
      <c r="T18" s="35"/>
      <c r="U18" s="85"/>
      <c r="V18" s="35"/>
      <c r="W18" s="35"/>
      <c r="X18" s="35"/>
      <c r="Y18" s="35"/>
      <c r="Z18" s="85"/>
      <c r="AA18" s="35"/>
      <c r="AB18" s="35"/>
      <c r="AC18" s="12"/>
      <c r="AD18" s="12"/>
      <c r="AE18" s="12"/>
      <c r="AF18" s="12"/>
      <c r="AH18" s="12"/>
      <c r="AI18" s="12"/>
      <c r="AJ18" s="12"/>
      <c r="AK18" s="12"/>
    </row>
    <row r="19" spans="2:37" x14ac:dyDescent="0.25">
      <c r="B19" s="35">
        <v>7</v>
      </c>
      <c r="C19" s="123">
        <v>0</v>
      </c>
      <c r="D19" s="36">
        <v>-2.4280220200000001E-2</v>
      </c>
      <c r="E19" s="36">
        <v>3.7633883299999997E-2</v>
      </c>
      <c r="O19" s="85"/>
      <c r="P19" s="85"/>
      <c r="Q19" s="35"/>
      <c r="R19" s="35"/>
      <c r="S19" s="35"/>
      <c r="T19" s="35"/>
      <c r="U19" s="85"/>
      <c r="V19" s="35"/>
      <c r="W19" s="35"/>
      <c r="X19" s="35"/>
      <c r="Y19" s="35"/>
      <c r="Z19" s="85"/>
      <c r="AA19" s="35"/>
      <c r="AB19" s="35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2:37" x14ac:dyDescent="0.25">
      <c r="B20" s="35">
        <v>7.25</v>
      </c>
      <c r="C20" s="123">
        <v>0</v>
      </c>
      <c r="D20" s="36">
        <v>-2.2956384699999999E-2</v>
      </c>
      <c r="E20" s="36">
        <v>3.5476419100000003E-2</v>
      </c>
      <c r="G20" s="1" t="s">
        <v>82</v>
      </c>
      <c r="O20" s="85"/>
      <c r="P20" s="85"/>
      <c r="Q20" s="35"/>
      <c r="R20" s="35"/>
      <c r="S20" s="35"/>
      <c r="T20" s="35"/>
      <c r="U20" s="85"/>
      <c r="V20" s="35"/>
      <c r="W20" s="35"/>
      <c r="X20" s="35"/>
      <c r="Y20" s="35"/>
      <c r="Z20" s="85"/>
      <c r="AA20" s="35"/>
      <c r="AB20" s="35"/>
      <c r="AC20" s="12"/>
      <c r="AD20" s="12"/>
      <c r="AE20" s="12"/>
    </row>
    <row r="21" spans="2:37" x14ac:dyDescent="0.25">
      <c r="B21" s="35">
        <v>7.5</v>
      </c>
      <c r="C21" s="123">
        <v>0</v>
      </c>
      <c r="D21" s="36">
        <v>-2.1486034899999999E-2</v>
      </c>
      <c r="E21" s="36">
        <v>3.3356475099999998E-2</v>
      </c>
      <c r="G21" s="1" t="s">
        <v>81</v>
      </c>
      <c r="O21" s="85"/>
      <c r="P21" s="85"/>
      <c r="Q21" s="35"/>
      <c r="R21" s="35"/>
      <c r="S21" s="35"/>
      <c r="T21" s="35"/>
      <c r="U21" s="85"/>
      <c r="V21" s="35"/>
      <c r="W21" s="35"/>
      <c r="X21" s="35"/>
      <c r="Y21" s="35"/>
      <c r="Z21" s="85"/>
      <c r="AA21" s="35"/>
      <c r="AB21" s="35"/>
      <c r="AC21" s="12"/>
      <c r="AD21" s="12"/>
      <c r="AE21" s="12"/>
    </row>
    <row r="22" spans="2:37" x14ac:dyDescent="0.25">
      <c r="B22" s="35">
        <v>7.75</v>
      </c>
      <c r="C22" s="123">
        <v>0</v>
      </c>
      <c r="D22" s="36">
        <v>-1.99784296E-2</v>
      </c>
      <c r="E22" s="36">
        <v>3.1206798000000001E-2</v>
      </c>
      <c r="G22" s="1" t="s">
        <v>75</v>
      </c>
      <c r="H22" s="1" t="s">
        <v>76</v>
      </c>
      <c r="O22" s="85"/>
      <c r="AA22" s="35"/>
      <c r="AB22" s="35"/>
      <c r="AC22" s="12"/>
      <c r="AD22" s="12"/>
      <c r="AE22" s="12"/>
    </row>
    <row r="23" spans="2:37" x14ac:dyDescent="0.25">
      <c r="B23" s="35">
        <v>8</v>
      </c>
      <c r="C23" s="123">
        <v>0</v>
      </c>
      <c r="D23" s="36">
        <v>-1.8535864700000002E-2</v>
      </c>
      <c r="E23" s="36">
        <v>2.8938469099999999E-2</v>
      </c>
      <c r="G23" s="1" t="s">
        <v>77</v>
      </c>
      <c r="H23" s="1" t="s">
        <v>78</v>
      </c>
      <c r="O23" s="85"/>
      <c r="AA23" s="35"/>
      <c r="AB23" s="35"/>
      <c r="AC23" s="12"/>
      <c r="AD23" s="12"/>
      <c r="AE23" s="12"/>
    </row>
    <row r="24" spans="2:37" x14ac:dyDescent="0.25">
      <c r="B24" s="35">
        <v>8.25</v>
      </c>
      <c r="C24" s="123">
        <v>0</v>
      </c>
      <c r="D24" s="36">
        <v>-1.7224249800000001E-2</v>
      </c>
      <c r="E24" s="36">
        <v>2.6473309E-2</v>
      </c>
      <c r="G24" s="1" t="s">
        <v>79</v>
      </c>
      <c r="H24" s="1" t="s">
        <v>80</v>
      </c>
      <c r="O24" s="85"/>
      <c r="AA24" s="35"/>
      <c r="AB24" s="35"/>
      <c r="AC24" s="12"/>
      <c r="AD24" s="12"/>
      <c r="AE24" s="12"/>
    </row>
    <row r="25" spans="2:37" x14ac:dyDescent="0.25">
      <c r="B25" s="35">
        <v>8.5</v>
      </c>
      <c r="C25" s="123">
        <v>0</v>
      </c>
      <c r="D25" s="36">
        <v>-1.6101402099999999E-2</v>
      </c>
      <c r="E25" s="36">
        <v>2.3758730200000001E-2</v>
      </c>
      <c r="G25" s="1" t="s">
        <v>171</v>
      </c>
      <c r="H25" s="1" t="s">
        <v>172</v>
      </c>
      <c r="O25" s="85"/>
      <c r="AA25" s="35"/>
      <c r="AB25" s="35"/>
      <c r="AC25" s="12"/>
      <c r="AD25" s="12"/>
      <c r="AE25" s="12"/>
    </row>
    <row r="26" spans="2:37" x14ac:dyDescent="0.25">
      <c r="B26" s="35">
        <v>8.75</v>
      </c>
      <c r="C26" s="123">
        <v>0</v>
      </c>
      <c r="D26" s="36">
        <v>-1.52155268E-2</v>
      </c>
      <c r="E26" s="36">
        <v>2.0747471999999999E-2</v>
      </c>
      <c r="O26" s="85"/>
      <c r="AA26" s="35"/>
      <c r="AB26" s="35"/>
      <c r="AC26" s="12"/>
      <c r="AD26" s="12"/>
      <c r="AE26" s="12"/>
    </row>
    <row r="27" spans="2:37" x14ac:dyDescent="0.25">
      <c r="B27" s="35">
        <v>9</v>
      </c>
      <c r="C27" s="123">
        <v>0</v>
      </c>
      <c r="D27" s="36">
        <v>-1.44706835E-2</v>
      </c>
      <c r="E27" s="36">
        <v>1.75051471E-2</v>
      </c>
      <c r="G27" s="11" t="s">
        <v>148</v>
      </c>
      <c r="O27" s="85"/>
      <c r="AA27" s="35"/>
      <c r="AB27" s="35"/>
      <c r="AC27" s="12"/>
      <c r="AD27" s="12"/>
      <c r="AE27" s="12"/>
    </row>
    <row r="28" spans="2:37" x14ac:dyDescent="0.25">
      <c r="B28" s="35">
        <v>9.25</v>
      </c>
      <c r="C28" s="123">
        <v>0</v>
      </c>
      <c r="D28" s="36">
        <v>-1.3726758800000001E-2</v>
      </c>
      <c r="E28" s="36">
        <v>1.4160948499999999E-2</v>
      </c>
      <c r="G28" s="9" t="s">
        <v>45</v>
      </c>
      <c r="O28" s="85"/>
      <c r="AA28" s="35"/>
      <c r="AB28" s="35"/>
      <c r="AC28" s="12"/>
      <c r="AD28" s="12"/>
      <c r="AE28" s="12"/>
    </row>
    <row r="29" spans="2:37" x14ac:dyDescent="0.25">
      <c r="B29" s="35">
        <v>9.5</v>
      </c>
      <c r="C29" s="123">
        <v>0</v>
      </c>
      <c r="D29" s="36">
        <v>-1.2890132699999999E-2</v>
      </c>
      <c r="E29" s="36">
        <v>1.0822751800000001E-2</v>
      </c>
      <c r="G29" s="9"/>
      <c r="O29" s="85"/>
      <c r="AA29" s="35"/>
      <c r="AB29" s="35"/>
      <c r="AC29" s="12"/>
      <c r="AD29" s="12"/>
      <c r="AE29" s="12"/>
    </row>
    <row r="30" spans="2:37" x14ac:dyDescent="0.25">
      <c r="B30" s="35">
        <v>9.75</v>
      </c>
      <c r="C30" s="123">
        <v>0</v>
      </c>
      <c r="D30" s="36">
        <v>-1.1886260500000001E-2</v>
      </c>
      <c r="E30" s="36">
        <v>7.5820478999999996E-3</v>
      </c>
      <c r="G30" s="60" t="s">
        <v>54</v>
      </c>
      <c r="O30" s="85"/>
      <c r="Z30" s="35"/>
      <c r="AA30" s="35"/>
      <c r="AB30" s="35"/>
      <c r="AC30" s="12"/>
      <c r="AD30" s="12"/>
      <c r="AE30" s="12"/>
    </row>
    <row r="31" spans="2:37" x14ac:dyDescent="0.25">
      <c r="B31" s="35">
        <v>10</v>
      </c>
      <c r="C31" s="123">
        <v>0</v>
      </c>
      <c r="D31" s="36">
        <v>-1.06432261E-2</v>
      </c>
      <c r="E31" s="36">
        <v>4.5167458999999998E-3</v>
      </c>
      <c r="G31" s="10" t="s">
        <v>175</v>
      </c>
      <c r="O31" s="85"/>
      <c r="R31" s="12"/>
      <c r="S31" s="35"/>
      <c r="T31" s="12"/>
      <c r="U31" s="12"/>
      <c r="V31" s="12"/>
      <c r="W31" s="12"/>
      <c r="X31" s="12"/>
    </row>
    <row r="32" spans="2:37" x14ac:dyDescent="0.25">
      <c r="B32" s="35">
        <v>10.25</v>
      </c>
      <c r="C32" s="123">
        <v>0</v>
      </c>
      <c r="D32" s="36">
        <v>-9.1204061000000006E-3</v>
      </c>
      <c r="E32" s="36">
        <v>1.6697858999999999E-3</v>
      </c>
      <c r="G32" s="10" t="s">
        <v>53</v>
      </c>
      <c r="O32" s="85"/>
      <c r="R32" s="12"/>
      <c r="S32" s="35"/>
      <c r="T32" s="12"/>
      <c r="U32" s="12"/>
      <c r="V32" s="12"/>
      <c r="W32" s="12"/>
      <c r="X32" s="12"/>
    </row>
    <row r="33" spans="2:26" x14ac:dyDescent="0.25">
      <c r="B33" s="35">
        <v>10.5</v>
      </c>
      <c r="C33" s="123">
        <v>0</v>
      </c>
      <c r="D33" s="36">
        <v>-7.3156745999999996E-3</v>
      </c>
      <c r="E33" s="36">
        <v>-9.4150099999999997E-4</v>
      </c>
      <c r="G33" s="1" t="s">
        <v>55</v>
      </c>
      <c r="O33" s="85"/>
      <c r="R33" s="12"/>
      <c r="S33" s="35"/>
      <c r="T33" s="12"/>
      <c r="U33" s="12"/>
      <c r="V33" s="12"/>
      <c r="W33" s="12"/>
      <c r="X33" s="12"/>
    </row>
    <row r="34" spans="2:26" x14ac:dyDescent="0.25">
      <c r="B34" s="35">
        <v>10.75</v>
      </c>
      <c r="C34" s="123">
        <v>0</v>
      </c>
      <c r="D34" s="36">
        <v>-5.2449988999999997E-3</v>
      </c>
      <c r="E34" s="36">
        <v>-3.3191700000000002E-3</v>
      </c>
      <c r="O34" s="8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2:26" x14ac:dyDescent="0.25">
      <c r="B35" s="35">
        <v>11</v>
      </c>
      <c r="C35" s="123">
        <v>0</v>
      </c>
      <c r="D35" s="36">
        <v>-2.9300577E-3</v>
      </c>
      <c r="E35" s="36">
        <v>-5.4746250000000003E-3</v>
      </c>
      <c r="I35" s="85"/>
      <c r="O35" s="8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2:26" x14ac:dyDescent="0.25">
      <c r="B36" s="35">
        <v>11.25</v>
      </c>
      <c r="C36" s="123">
        <v>0</v>
      </c>
      <c r="D36" s="36">
        <v>-4.0379100000000002E-4</v>
      </c>
      <c r="E36" s="36">
        <v>-7.4161408000000002E-3</v>
      </c>
      <c r="I36" s="85"/>
      <c r="J36" s="35"/>
      <c r="K36" s="35"/>
      <c r="O36" s="8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2:26" x14ac:dyDescent="0.25">
      <c r="B37" s="35">
        <v>11.5</v>
      </c>
      <c r="C37" s="123">
        <v>0</v>
      </c>
      <c r="D37" s="36">
        <v>2.2893003999999999E-3</v>
      </c>
      <c r="E37" s="36">
        <v>-9.1618047999999994E-3</v>
      </c>
      <c r="H37" s="35"/>
      <c r="I37" s="85"/>
      <c r="J37" s="35"/>
      <c r="K37" s="35"/>
      <c r="M37" s="7"/>
      <c r="O37" s="8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2:26" x14ac:dyDescent="0.25">
      <c r="B38" s="35">
        <v>11.75</v>
      </c>
      <c r="C38" s="123">
        <v>0</v>
      </c>
      <c r="D38" s="36">
        <v>5.1045639999999998E-3</v>
      </c>
      <c r="E38" s="36">
        <v>-1.07232274E-2</v>
      </c>
      <c r="H38" s="35"/>
      <c r="I38" s="85"/>
      <c r="J38" s="35"/>
      <c r="K38" s="35"/>
      <c r="M38" s="7"/>
      <c r="O38" s="8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2:26" x14ac:dyDescent="0.25">
      <c r="B39" s="35">
        <v>12</v>
      </c>
      <c r="C39" s="123">
        <v>0</v>
      </c>
      <c r="D39" s="36">
        <v>7.9970022000000005E-3</v>
      </c>
      <c r="E39" s="36">
        <v>-1.21154048E-2</v>
      </c>
      <c r="H39" s="35"/>
      <c r="I39" s="85"/>
      <c r="J39" s="35"/>
      <c r="K39" s="35"/>
      <c r="M39" s="7"/>
      <c r="O39" s="8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2:26" x14ac:dyDescent="0.25">
      <c r="B40" s="35">
        <v>12.25</v>
      </c>
      <c r="C40" s="123">
        <v>0</v>
      </c>
      <c r="D40" s="36">
        <v>1.09213109E-2</v>
      </c>
      <c r="E40" s="36">
        <v>-1.3354960000000001E-2</v>
      </c>
      <c r="H40" s="35"/>
      <c r="I40" s="85"/>
      <c r="J40" s="35"/>
      <c r="K40" s="35"/>
      <c r="M40" s="7"/>
      <c r="O40" s="96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2:26" x14ac:dyDescent="0.25">
      <c r="B41" s="35">
        <v>12.5</v>
      </c>
      <c r="C41" s="123">
        <v>0</v>
      </c>
      <c r="D41" s="36">
        <v>1.3830883400000001E-2</v>
      </c>
      <c r="E41" s="36">
        <v>-1.44644427E-2</v>
      </c>
      <c r="H41" s="35"/>
      <c r="I41" s="85"/>
      <c r="J41" s="35"/>
      <c r="K41" s="35"/>
      <c r="M41" s="7"/>
      <c r="O41" s="96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2:26" x14ac:dyDescent="0.25">
      <c r="B42" s="35">
        <v>12.75</v>
      </c>
      <c r="C42" s="123">
        <v>0</v>
      </c>
      <c r="D42" s="36">
        <v>1.6680410600000001E-2</v>
      </c>
      <c r="E42" s="36">
        <v>-1.54591455E-2</v>
      </c>
      <c r="H42" s="35"/>
      <c r="I42" s="85"/>
      <c r="J42" s="35"/>
      <c r="K42" s="35"/>
      <c r="O42" s="96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2:26" x14ac:dyDescent="0.25">
      <c r="B43" s="35">
        <v>13</v>
      </c>
      <c r="C43" s="123">
        <v>0</v>
      </c>
      <c r="D43" s="36">
        <v>1.9432873E-2</v>
      </c>
      <c r="E43" s="36">
        <v>-1.6346554499999999E-2</v>
      </c>
      <c r="H43" s="35"/>
      <c r="I43" s="85"/>
      <c r="J43" s="35"/>
      <c r="K43" s="35"/>
      <c r="M43" s="7"/>
      <c r="O43" s="96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2:26" x14ac:dyDescent="0.25">
      <c r="B44" s="35">
        <v>13.25</v>
      </c>
      <c r="C44" s="123">
        <v>0</v>
      </c>
      <c r="D44" s="36">
        <v>2.20572804E-2</v>
      </c>
      <c r="E44" s="36">
        <v>-1.7135349599999999E-2</v>
      </c>
      <c r="H44" s="35"/>
      <c r="I44" s="85"/>
      <c r="J44" s="35"/>
      <c r="K44" s="35"/>
      <c r="M44" s="7"/>
      <c r="O44" s="96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2:26" x14ac:dyDescent="0.25">
      <c r="B45" s="35">
        <v>13.5</v>
      </c>
      <c r="C45" s="123">
        <v>0</v>
      </c>
      <c r="D45" s="36">
        <v>2.4526799200000001E-2</v>
      </c>
      <c r="E45" s="36">
        <v>-1.7834362600000001E-2</v>
      </c>
      <c r="H45" s="35"/>
      <c r="I45" s="85"/>
      <c r="J45" s="35"/>
      <c r="K45" s="35"/>
      <c r="M45" s="7"/>
      <c r="O45" s="96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2:26" x14ac:dyDescent="0.25">
      <c r="B46" s="35">
        <v>13.75</v>
      </c>
      <c r="C46" s="123">
        <v>0</v>
      </c>
      <c r="D46" s="36">
        <v>2.6823844900000001E-2</v>
      </c>
      <c r="E46" s="36">
        <v>-1.8446997199999999E-2</v>
      </c>
      <c r="H46" s="35"/>
      <c r="I46" s="85"/>
      <c r="J46" s="35"/>
      <c r="K46" s="35"/>
      <c r="O46" s="96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2:26" x14ac:dyDescent="0.25">
      <c r="B47" s="35">
        <v>14</v>
      </c>
      <c r="C47" s="123">
        <v>0</v>
      </c>
      <c r="D47" s="36">
        <v>2.8938257500000002E-2</v>
      </c>
      <c r="E47" s="36">
        <v>-1.8973050500000001E-2</v>
      </c>
      <c r="H47" s="35"/>
      <c r="I47" s="85"/>
      <c r="J47" s="35"/>
      <c r="K47" s="35"/>
      <c r="M47" s="7"/>
      <c r="O47" s="96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2:26" x14ac:dyDescent="0.25">
      <c r="B48" s="35">
        <v>14.25</v>
      </c>
      <c r="C48" s="123">
        <v>0</v>
      </c>
      <c r="D48" s="36">
        <v>3.0866707199999999E-2</v>
      </c>
      <c r="E48" s="36">
        <v>-1.9412488799999999E-2</v>
      </c>
      <c r="H48" s="35"/>
      <c r="I48" s="85"/>
      <c r="J48" s="35"/>
      <c r="K48" s="35"/>
      <c r="M48" s="7"/>
      <c r="O48" s="96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2:26" x14ac:dyDescent="0.25">
      <c r="B49" s="35">
        <v>14.5</v>
      </c>
      <c r="C49" s="123">
        <v>0</v>
      </c>
      <c r="D49" s="36">
        <v>3.2606889100000001E-2</v>
      </c>
      <c r="E49" s="36">
        <v>-1.9769899699999999E-2</v>
      </c>
      <c r="H49" s="35"/>
      <c r="I49" s="85"/>
      <c r="J49" s="35"/>
      <c r="K49" s="35"/>
      <c r="M49" s="7"/>
      <c r="O49" s="96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2:26" x14ac:dyDescent="0.25">
      <c r="B50" s="35">
        <v>14.75</v>
      </c>
      <c r="C50" s="123">
        <v>0</v>
      </c>
      <c r="D50" s="36">
        <v>3.41594021E-2</v>
      </c>
      <c r="E50" s="36">
        <v>-2.00499315E-2</v>
      </c>
      <c r="H50" s="35"/>
      <c r="I50" s="85"/>
      <c r="J50" s="35"/>
      <c r="K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2:26" x14ac:dyDescent="0.25">
      <c r="B51" s="35">
        <v>15</v>
      </c>
      <c r="C51" s="123">
        <v>0</v>
      </c>
      <c r="D51" s="36">
        <v>3.5527616499999998E-2</v>
      </c>
      <c r="E51" s="36">
        <v>-2.0258147600000002E-2</v>
      </c>
      <c r="H51" s="35"/>
      <c r="I51" s="85"/>
      <c r="J51" s="35"/>
      <c r="K51" s="35"/>
      <c r="T51" s="35"/>
    </row>
    <row r="52" spans="2:26" x14ac:dyDescent="0.25">
      <c r="B52" s="35">
        <v>15.25</v>
      </c>
      <c r="C52" s="123">
        <v>0</v>
      </c>
      <c r="D52" s="36">
        <v>3.6717469500000002E-2</v>
      </c>
      <c r="E52" s="36">
        <v>-2.0399395000000001E-2</v>
      </c>
      <c r="H52" s="35"/>
      <c r="I52" s="85"/>
      <c r="J52" s="35"/>
      <c r="K52" s="35"/>
      <c r="M52" s="7"/>
      <c r="N52" s="7"/>
      <c r="T52" s="35"/>
    </row>
    <row r="53" spans="2:26" x14ac:dyDescent="0.25">
      <c r="B53" s="35">
        <v>15.5</v>
      </c>
      <c r="C53" s="123">
        <v>0</v>
      </c>
      <c r="D53" s="36">
        <v>3.7736595099999999E-2</v>
      </c>
      <c r="E53" s="36">
        <v>-2.0477078400000001E-2</v>
      </c>
      <c r="H53" s="35"/>
      <c r="I53" s="85"/>
      <c r="J53" s="35"/>
      <c r="K53" s="35"/>
      <c r="M53" s="25"/>
      <c r="N53" s="24"/>
      <c r="T53" s="35"/>
    </row>
    <row r="54" spans="2:26" x14ac:dyDescent="0.25">
      <c r="B54" s="35">
        <v>15.75</v>
      </c>
      <c r="C54" s="123">
        <v>0</v>
      </c>
      <c r="D54" s="36">
        <v>3.8594962500000003E-2</v>
      </c>
      <c r="E54" s="36">
        <v>-2.04932164E-2</v>
      </c>
      <c r="H54" s="35"/>
      <c r="I54" s="85"/>
      <c r="J54" s="35"/>
      <c r="K54" s="35"/>
      <c r="M54" s="25"/>
      <c r="N54" s="24"/>
      <c r="T54" s="35"/>
    </row>
    <row r="55" spans="2:26" x14ac:dyDescent="0.25">
      <c r="B55" s="35">
        <v>16</v>
      </c>
      <c r="C55" s="123">
        <v>0</v>
      </c>
      <c r="D55" s="36">
        <v>3.9305195100000002E-2</v>
      </c>
      <c r="E55" s="36">
        <v>-2.04474735E-2</v>
      </c>
      <c r="H55" s="35"/>
      <c r="I55" s="85"/>
      <c r="J55" s="35"/>
      <c r="K55" s="35"/>
      <c r="M55" s="25"/>
      <c r="N55" s="24"/>
    </row>
    <row r="56" spans="2:26" x14ac:dyDescent="0.25">
      <c r="B56" s="35">
        <v>16.25</v>
      </c>
      <c r="C56" s="123">
        <v>0</v>
      </c>
      <c r="D56" s="36">
        <v>3.9880535500000001E-2</v>
      </c>
      <c r="E56" s="36">
        <v>-2.0337483399999998E-2</v>
      </c>
      <c r="H56" s="35"/>
      <c r="I56" s="85"/>
      <c r="J56" s="35"/>
      <c r="K56" s="35"/>
      <c r="M56" s="25"/>
      <c r="N56" s="24"/>
    </row>
    <row r="57" spans="2:26" x14ac:dyDescent="0.25">
      <c r="B57" s="35">
        <v>16.5</v>
      </c>
      <c r="C57" s="123">
        <v>0</v>
      </c>
      <c r="D57" s="36">
        <v>4.0333123700000001E-2</v>
      </c>
      <c r="E57" s="36">
        <v>-2.0161796799999999E-2</v>
      </c>
      <c r="H57" s="35"/>
      <c r="I57" s="85"/>
      <c r="J57" s="35"/>
      <c r="K57" s="35"/>
      <c r="M57" s="25"/>
      <c r="N57" s="24"/>
    </row>
    <row r="58" spans="2:26" x14ac:dyDescent="0.25">
      <c r="B58" s="35">
        <v>16.75</v>
      </c>
      <c r="C58" s="123">
        <v>0</v>
      </c>
      <c r="D58" s="36">
        <v>4.0673937299999997E-2</v>
      </c>
      <c r="E58" s="36">
        <v>-1.9921531400000001E-2</v>
      </c>
      <c r="H58" s="35"/>
      <c r="I58" s="85"/>
      <c r="J58" s="35"/>
      <c r="K58" s="35"/>
      <c r="M58" s="25"/>
      <c r="N58" s="24"/>
    </row>
    <row r="59" spans="2:26" x14ac:dyDescent="0.25">
      <c r="B59" s="35">
        <v>17</v>
      </c>
      <c r="C59" s="123">
        <v>0</v>
      </c>
      <c r="D59" s="36">
        <v>4.09133172E-2</v>
      </c>
      <c r="E59" s="36">
        <v>-1.9619216500000002E-2</v>
      </c>
      <c r="H59" s="35"/>
      <c r="I59" s="85"/>
      <c r="J59" s="35"/>
      <c r="K59" s="35"/>
      <c r="M59" s="25"/>
      <c r="N59" s="24"/>
    </row>
    <row r="60" spans="2:26" x14ac:dyDescent="0.25">
      <c r="B60" s="35">
        <v>17.25</v>
      </c>
      <c r="C60" s="123">
        <v>0</v>
      </c>
      <c r="D60" s="36">
        <v>4.10617972E-2</v>
      </c>
      <c r="E60" s="36">
        <v>-1.92588523E-2</v>
      </c>
      <c r="H60" s="35"/>
      <c r="I60" s="36"/>
      <c r="J60" s="35"/>
      <c r="K60" s="35"/>
      <c r="M60" s="25"/>
      <c r="N60" s="24"/>
    </row>
    <row r="61" spans="2:26" x14ac:dyDescent="0.25">
      <c r="B61" s="35">
        <v>17.5</v>
      </c>
      <c r="C61" s="123">
        <v>0</v>
      </c>
      <c r="D61" s="36">
        <v>4.1130048500000002E-2</v>
      </c>
      <c r="E61" s="36">
        <v>-1.8845037700000001E-2</v>
      </c>
      <c r="H61" s="35"/>
      <c r="I61" s="36"/>
      <c r="J61" s="35"/>
      <c r="K61" s="35"/>
      <c r="M61" s="7"/>
      <c r="N61" s="7"/>
    </row>
    <row r="62" spans="2:26" x14ac:dyDescent="0.25">
      <c r="B62" s="35">
        <v>17.75</v>
      </c>
      <c r="C62" s="123">
        <v>0</v>
      </c>
      <c r="D62" s="36">
        <v>4.1127803099999999E-2</v>
      </c>
      <c r="E62" s="36">
        <v>-1.8382405800000001E-2</v>
      </c>
      <c r="H62" s="35"/>
      <c r="I62" s="36"/>
      <c r="J62" s="35"/>
      <c r="K62" s="35"/>
      <c r="M62" s="7"/>
      <c r="N62" s="7"/>
    </row>
    <row r="63" spans="2:26" x14ac:dyDescent="0.25">
      <c r="B63" s="35">
        <v>18</v>
      </c>
      <c r="C63" s="123">
        <v>0</v>
      </c>
      <c r="D63" s="36">
        <v>4.1063050500000003E-2</v>
      </c>
      <c r="E63" s="36">
        <v>-1.78760094E-2</v>
      </c>
      <c r="H63" s="35"/>
      <c r="I63" s="36"/>
      <c r="J63" s="35"/>
      <c r="K63" s="35"/>
      <c r="M63" s="25"/>
      <c r="N63" s="24"/>
    </row>
    <row r="64" spans="2:26" x14ac:dyDescent="0.25">
      <c r="B64" s="35">
        <v>18.25</v>
      </c>
      <c r="C64" s="123">
        <v>0</v>
      </c>
      <c r="D64" s="36">
        <v>4.0942704099999998E-2</v>
      </c>
      <c r="E64" s="36">
        <v>-1.7331736899999999E-2</v>
      </c>
      <c r="H64" s="35"/>
      <c r="I64" s="36"/>
      <c r="J64" s="35"/>
      <c r="K64" s="35"/>
      <c r="M64" s="25"/>
      <c r="N64" s="24"/>
      <c r="P64" s="7"/>
      <c r="Q64" s="7"/>
    </row>
    <row r="65" spans="2:17" x14ac:dyDescent="0.25">
      <c r="B65" s="35">
        <v>18.5</v>
      </c>
      <c r="C65" s="123">
        <v>0</v>
      </c>
      <c r="D65" s="36">
        <v>4.07714141E-2</v>
      </c>
      <c r="E65" s="36">
        <v>-1.6757543E-2</v>
      </c>
      <c r="H65" s="35"/>
      <c r="I65" s="36"/>
      <c r="J65" s="35"/>
      <c r="K65" s="35"/>
      <c r="M65" s="25"/>
      <c r="N65" s="24"/>
      <c r="O65" s="96"/>
    </row>
    <row r="66" spans="2:17" x14ac:dyDescent="0.25">
      <c r="B66" s="35">
        <v>18.75</v>
      </c>
      <c r="C66" s="123">
        <v>0</v>
      </c>
      <c r="D66" s="36">
        <v>4.0552377799999997E-2</v>
      </c>
      <c r="E66" s="36">
        <v>-1.6161931099999999E-2</v>
      </c>
      <c r="H66" s="35"/>
      <c r="I66" s="36"/>
      <c r="J66" s="35"/>
      <c r="K66" s="35"/>
      <c r="M66" s="25"/>
      <c r="N66" s="24"/>
    </row>
    <row r="67" spans="2:17" x14ac:dyDescent="0.25">
      <c r="B67" s="35">
        <v>19</v>
      </c>
      <c r="C67" s="123">
        <v>0</v>
      </c>
      <c r="D67" s="36">
        <v>4.0288504500000002E-2</v>
      </c>
      <c r="E67" s="36">
        <v>-1.5552793699999999E-2</v>
      </c>
      <c r="H67" s="35"/>
      <c r="I67" s="36"/>
      <c r="J67" s="35"/>
      <c r="K67" s="35"/>
      <c r="M67" s="25"/>
      <c r="N67" s="24"/>
      <c r="P67" s="24"/>
      <c r="Q67" s="24"/>
    </row>
    <row r="68" spans="2:17" x14ac:dyDescent="0.25">
      <c r="B68" s="35">
        <v>19.25</v>
      </c>
      <c r="C68" s="123">
        <v>0</v>
      </c>
      <c r="D68" s="36">
        <v>3.9983355800000002E-2</v>
      </c>
      <c r="E68" s="36">
        <v>-1.4936410900000001E-2</v>
      </c>
      <c r="H68" s="35"/>
      <c r="I68" s="36"/>
      <c r="J68" s="35"/>
      <c r="K68" s="35"/>
      <c r="M68" s="25"/>
      <c r="N68" s="24"/>
      <c r="O68" s="115"/>
      <c r="P68" s="24"/>
      <c r="Q68" s="24"/>
    </row>
    <row r="69" spans="2:17" x14ac:dyDescent="0.25">
      <c r="B69" s="35">
        <v>19.5</v>
      </c>
      <c r="C69" s="123">
        <v>0</v>
      </c>
      <c r="D69" s="36">
        <v>3.96416536E-2</v>
      </c>
      <c r="E69" s="36">
        <v>-1.4317740400000001E-2</v>
      </c>
      <c r="H69" s="35"/>
      <c r="I69" s="36"/>
      <c r="J69" s="35"/>
      <c r="K69" s="35"/>
      <c r="M69" s="25"/>
      <c r="N69" s="24"/>
      <c r="O69" s="115"/>
      <c r="P69" s="24"/>
      <c r="Q69" s="24"/>
    </row>
    <row r="70" spans="2:17" x14ac:dyDescent="0.25">
      <c r="B70" s="35">
        <v>19.75</v>
      </c>
      <c r="C70" s="123">
        <v>0</v>
      </c>
      <c r="D70" s="36">
        <v>3.9267885699999998E-2</v>
      </c>
      <c r="E70" s="36">
        <v>-1.37013625E-2</v>
      </c>
      <c r="H70" s="35"/>
      <c r="I70" s="36"/>
      <c r="J70" s="35"/>
      <c r="K70" s="35"/>
      <c r="M70" s="25"/>
      <c r="N70" s="24"/>
      <c r="O70" s="115"/>
      <c r="P70" s="24"/>
      <c r="Q70" s="24"/>
    </row>
    <row r="71" spans="2:17" x14ac:dyDescent="0.25">
      <c r="B71" s="35">
        <v>20</v>
      </c>
      <c r="C71" s="123">
        <v>0</v>
      </c>
      <c r="D71" s="36">
        <v>3.8866184400000003E-2</v>
      </c>
      <c r="E71" s="36">
        <v>-1.3091501E-2</v>
      </c>
      <c r="H71" s="35"/>
      <c r="I71" s="36"/>
      <c r="J71" s="35"/>
      <c r="K71" s="35"/>
      <c r="M71" s="7"/>
      <c r="N71" s="7"/>
      <c r="O71" s="115"/>
      <c r="P71" s="24"/>
      <c r="Q71" s="24"/>
    </row>
    <row r="72" spans="2:17" x14ac:dyDescent="0.25">
      <c r="B72" s="35">
        <v>20.25</v>
      </c>
      <c r="C72" s="123">
        <v>0</v>
      </c>
      <c r="D72" s="36">
        <v>3.8440300300000001E-2</v>
      </c>
      <c r="E72" s="36">
        <v>-1.2492421199999999E-2</v>
      </c>
      <c r="H72" s="35"/>
      <c r="I72" s="36"/>
      <c r="J72" s="35"/>
      <c r="K72" s="35"/>
      <c r="M72" s="7"/>
      <c r="N72" s="7"/>
      <c r="O72" s="115"/>
      <c r="P72" s="24"/>
      <c r="Q72" s="24"/>
    </row>
    <row r="73" spans="2:17" x14ac:dyDescent="0.25">
      <c r="B73" s="35">
        <v>20.5</v>
      </c>
      <c r="C73" s="123">
        <v>0</v>
      </c>
      <c r="D73" s="36">
        <v>3.7993338500000001E-2</v>
      </c>
      <c r="E73" s="36">
        <v>-1.1908858200000001E-2</v>
      </c>
      <c r="H73" s="35"/>
      <c r="I73" s="36"/>
      <c r="J73" s="35"/>
      <c r="K73" s="35"/>
      <c r="M73" s="25"/>
      <c r="N73" s="24"/>
      <c r="O73" s="115"/>
      <c r="P73" s="24"/>
      <c r="Q73" s="24"/>
    </row>
    <row r="74" spans="2:17" x14ac:dyDescent="0.25">
      <c r="B74" s="35">
        <v>20.75</v>
      </c>
      <c r="C74" s="123">
        <v>0</v>
      </c>
      <c r="D74" s="36">
        <v>3.7527857499999998E-2</v>
      </c>
      <c r="E74" s="36">
        <v>-1.1345396900000001E-2</v>
      </c>
      <c r="H74" s="35"/>
      <c r="I74" s="36"/>
      <c r="J74" s="35"/>
      <c r="K74" s="35"/>
      <c r="M74" s="25"/>
      <c r="N74" s="24"/>
      <c r="O74" s="115"/>
      <c r="P74" s="24"/>
      <c r="Q74" s="24"/>
    </row>
    <row r="75" spans="2:17" x14ac:dyDescent="0.25">
      <c r="B75" s="35">
        <v>21</v>
      </c>
      <c r="C75" s="123">
        <v>0</v>
      </c>
      <c r="D75" s="36">
        <v>3.7046094500000001E-2</v>
      </c>
      <c r="E75" s="36">
        <v>-1.0806533700000001E-2</v>
      </c>
      <c r="H75" s="35"/>
      <c r="I75" s="36"/>
      <c r="J75" s="35"/>
      <c r="K75" s="35"/>
      <c r="M75" s="25"/>
      <c r="N75" s="24"/>
      <c r="O75" s="115"/>
      <c r="P75" s="7"/>
      <c r="Q75" s="7"/>
    </row>
    <row r="76" spans="2:17" x14ac:dyDescent="0.25">
      <c r="B76" s="35">
        <v>21.25</v>
      </c>
      <c r="C76" s="123">
        <v>0</v>
      </c>
      <c r="D76" s="36">
        <v>3.6550385300000002E-2</v>
      </c>
      <c r="E76" s="36">
        <v>-1.0296375700000001E-2</v>
      </c>
      <c r="H76" s="35"/>
      <c r="I76" s="36"/>
      <c r="J76" s="35"/>
      <c r="K76" s="35"/>
      <c r="M76" s="25"/>
      <c r="N76" s="24"/>
      <c r="O76" s="96"/>
      <c r="P76" s="7"/>
      <c r="Q76" s="7"/>
    </row>
    <row r="77" spans="2:17" x14ac:dyDescent="0.25">
      <c r="B77" s="35">
        <v>21.5</v>
      </c>
      <c r="C77" s="123">
        <v>0</v>
      </c>
      <c r="D77" s="36">
        <v>3.6042801999999999E-2</v>
      </c>
      <c r="E77" s="36">
        <v>-9.8181655999999996E-3</v>
      </c>
      <c r="H77" s="35"/>
      <c r="I77" s="36"/>
      <c r="J77" s="35"/>
      <c r="K77" s="35"/>
      <c r="M77" s="25"/>
      <c r="N77" s="24"/>
      <c r="O77" s="96"/>
      <c r="P77" s="7"/>
      <c r="Q77" s="7"/>
    </row>
    <row r="78" spans="2:17" x14ac:dyDescent="0.25">
      <c r="B78" s="35">
        <v>21.75</v>
      </c>
      <c r="C78" s="123">
        <v>0</v>
      </c>
      <c r="D78" s="36">
        <v>3.5526119600000003E-2</v>
      </c>
      <c r="E78" s="36">
        <v>-9.3749963000000006E-3</v>
      </c>
      <c r="H78" s="35"/>
      <c r="I78" s="36"/>
      <c r="J78" s="35"/>
      <c r="K78" s="35"/>
      <c r="M78" s="25"/>
      <c r="N78" s="24"/>
      <c r="O78" s="96"/>
    </row>
    <row r="79" spans="2:17" x14ac:dyDescent="0.25">
      <c r="B79" s="35">
        <v>22</v>
      </c>
      <c r="C79" s="123">
        <v>0</v>
      </c>
      <c r="D79" s="36">
        <v>3.50036362E-2</v>
      </c>
      <c r="E79" s="36">
        <v>-8.9699913000000006E-3</v>
      </c>
      <c r="H79" s="35"/>
      <c r="I79" s="36"/>
      <c r="J79" s="35"/>
      <c r="K79" s="35"/>
      <c r="M79" s="25"/>
      <c r="N79" s="24"/>
    </row>
    <row r="80" spans="2:17" x14ac:dyDescent="0.25">
      <c r="B80" s="35">
        <v>22.25</v>
      </c>
      <c r="C80" s="123">
        <v>0</v>
      </c>
      <c r="D80" s="36">
        <v>3.4478343199999997E-2</v>
      </c>
      <c r="E80" s="36">
        <v>-8.6060884999999993E-3</v>
      </c>
      <c r="H80" s="35"/>
      <c r="I80" s="36"/>
      <c r="J80" s="35"/>
      <c r="K80" s="35"/>
      <c r="M80" s="25"/>
      <c r="N80" s="24"/>
      <c r="P80" s="24"/>
      <c r="Q80" s="24"/>
    </row>
    <row r="81" spans="2:17" x14ac:dyDescent="0.25">
      <c r="B81" s="35">
        <v>22.5</v>
      </c>
      <c r="C81" s="123">
        <v>0</v>
      </c>
      <c r="D81" s="36">
        <v>3.3952291599999997E-2</v>
      </c>
      <c r="E81" s="36">
        <v>-8.2856070000000004E-3</v>
      </c>
      <c r="H81" s="35"/>
      <c r="I81" s="36"/>
      <c r="J81" s="35"/>
      <c r="K81" s="35"/>
      <c r="O81" s="115"/>
      <c r="P81" s="24"/>
      <c r="Q81" s="24"/>
    </row>
    <row r="82" spans="2:17" x14ac:dyDescent="0.25">
      <c r="B82" s="35">
        <v>22.75</v>
      </c>
      <c r="C82" s="123">
        <v>0</v>
      </c>
      <c r="D82" s="36">
        <v>3.3427188400000002E-2</v>
      </c>
      <c r="E82" s="36">
        <v>-8.0099119999999992E-3</v>
      </c>
      <c r="H82" s="35"/>
      <c r="I82" s="36"/>
      <c r="J82" s="35"/>
      <c r="K82" s="35"/>
      <c r="O82" s="115"/>
      <c r="P82" s="24"/>
      <c r="Q82" s="24"/>
    </row>
    <row r="83" spans="2:17" x14ac:dyDescent="0.25">
      <c r="B83" s="35">
        <v>23</v>
      </c>
      <c r="C83" s="123">
        <v>0</v>
      </c>
      <c r="D83" s="36">
        <v>3.2904658900000001E-2</v>
      </c>
      <c r="E83" s="36">
        <v>-7.7798045999999997E-3</v>
      </c>
      <c r="H83" s="35"/>
      <c r="I83" s="36"/>
      <c r="J83" s="35"/>
      <c r="K83" s="35"/>
      <c r="O83" s="115"/>
      <c r="P83" s="24"/>
      <c r="Q83" s="24"/>
    </row>
    <row r="84" spans="2:17" x14ac:dyDescent="0.25">
      <c r="B84" s="35">
        <v>23.25</v>
      </c>
      <c r="C84" s="123">
        <v>0</v>
      </c>
      <c r="D84" s="36">
        <v>3.2385906399999997E-2</v>
      </c>
      <c r="E84" s="36">
        <v>-7.5961976E-3</v>
      </c>
      <c r="H84" s="35"/>
      <c r="I84" s="36"/>
      <c r="J84" s="35"/>
      <c r="K84" s="35"/>
      <c r="O84" s="115"/>
      <c r="P84" s="24"/>
      <c r="Q84" s="24"/>
    </row>
    <row r="85" spans="2:17" x14ac:dyDescent="0.25">
      <c r="B85" s="35">
        <v>23.5</v>
      </c>
      <c r="C85" s="123">
        <v>0</v>
      </c>
      <c r="D85" s="36">
        <v>3.1871387899999999E-2</v>
      </c>
      <c r="E85" s="36">
        <v>-7.4610470999999998E-3</v>
      </c>
      <c r="H85" s="35"/>
      <c r="I85" s="36"/>
      <c r="J85" s="35"/>
      <c r="K85" s="35"/>
      <c r="O85" s="115"/>
      <c r="P85" s="24"/>
      <c r="Q85" s="24"/>
    </row>
    <row r="86" spans="2:17" x14ac:dyDescent="0.25">
      <c r="B86" s="35">
        <v>23.75</v>
      </c>
      <c r="C86" s="123">
        <v>0</v>
      </c>
      <c r="D86" s="36">
        <v>3.1361405299999999E-2</v>
      </c>
      <c r="E86" s="36">
        <v>-7.3760129000000002E-3</v>
      </c>
      <c r="H86" s="35"/>
      <c r="I86" s="36"/>
      <c r="J86" s="35"/>
      <c r="K86" s="35"/>
      <c r="O86" s="115"/>
      <c r="P86" s="24"/>
      <c r="Q86" s="24"/>
    </row>
    <row r="87" spans="2:17" x14ac:dyDescent="0.25">
      <c r="B87" s="35">
        <v>24</v>
      </c>
      <c r="C87" s="123">
        <v>0</v>
      </c>
      <c r="D87" s="36">
        <v>3.0856298800000001E-2</v>
      </c>
      <c r="E87" s="36">
        <v>-7.3420374999999998E-3</v>
      </c>
      <c r="H87" s="35"/>
      <c r="I87" s="36"/>
      <c r="J87" s="35"/>
      <c r="K87" s="35"/>
      <c r="O87" s="115"/>
      <c r="P87" s="24"/>
      <c r="Q87" s="24"/>
    </row>
    <row r="88" spans="2:17" x14ac:dyDescent="0.25">
      <c r="B88" s="35">
        <v>24.25</v>
      </c>
      <c r="C88" s="123">
        <v>0</v>
      </c>
      <c r="D88" s="36">
        <v>3.03562754E-2</v>
      </c>
      <c r="E88" s="36">
        <v>-7.3599701E-3</v>
      </c>
      <c r="H88" s="35"/>
      <c r="I88" s="36"/>
      <c r="J88" s="35"/>
      <c r="K88" s="35"/>
      <c r="O88" s="115"/>
      <c r="P88" s="7"/>
      <c r="Q88" s="7"/>
    </row>
    <row r="89" spans="2:17" x14ac:dyDescent="0.25">
      <c r="B89" s="35">
        <v>24.5</v>
      </c>
      <c r="C89" s="123">
        <v>0</v>
      </c>
      <c r="D89" s="36">
        <v>2.98611607E-2</v>
      </c>
      <c r="E89" s="36">
        <v>-7.4305927000000004E-3</v>
      </c>
      <c r="H89" s="35"/>
      <c r="I89" s="36"/>
      <c r="J89" s="35"/>
      <c r="K89" s="35"/>
      <c r="O89" s="96"/>
      <c r="P89" s="7"/>
      <c r="Q89" s="7"/>
    </row>
    <row r="90" spans="2:17" x14ac:dyDescent="0.25">
      <c r="B90" s="35">
        <v>24.75</v>
      </c>
      <c r="C90" s="123">
        <v>0</v>
      </c>
      <c r="D90" s="36">
        <v>2.9371070900000001E-2</v>
      </c>
      <c r="E90" s="36">
        <v>-7.5541931999999999E-3</v>
      </c>
      <c r="H90" s="35"/>
      <c r="I90" s="36"/>
      <c r="J90" s="35"/>
      <c r="K90" s="35"/>
      <c r="O90" s="96"/>
      <c r="P90" s="7"/>
      <c r="Q90" s="7"/>
    </row>
    <row r="91" spans="2:17" x14ac:dyDescent="0.25">
      <c r="B91" s="35">
        <v>25</v>
      </c>
      <c r="C91" s="123">
        <v>0</v>
      </c>
      <c r="D91" s="36">
        <v>2.8886352800000001E-2</v>
      </c>
      <c r="E91" s="36">
        <v>-7.7307414000000003E-3</v>
      </c>
      <c r="H91" s="35"/>
      <c r="I91" s="36"/>
      <c r="J91" s="35"/>
      <c r="K91" s="35"/>
      <c r="O91" s="96"/>
    </row>
    <row r="92" spans="2:17" x14ac:dyDescent="0.25">
      <c r="B92" s="35">
        <v>25.25</v>
      </c>
      <c r="C92" s="123">
        <v>0</v>
      </c>
      <c r="D92" s="36">
        <v>2.840763E-2</v>
      </c>
      <c r="E92" s="36">
        <v>-7.9599230000000007E-3</v>
      </c>
      <c r="H92" s="35"/>
      <c r="I92" s="36"/>
      <c r="J92" s="35"/>
      <c r="K92" s="35"/>
    </row>
    <row r="93" spans="2:17" x14ac:dyDescent="0.25">
      <c r="B93" s="35">
        <v>25.5</v>
      </c>
      <c r="C93" s="123">
        <v>0</v>
      </c>
      <c r="D93" s="36">
        <v>2.79357652E-2</v>
      </c>
      <c r="E93" s="36">
        <v>-8.2408919000000001E-3</v>
      </c>
      <c r="H93" s="35"/>
      <c r="I93" s="36"/>
      <c r="J93" s="35"/>
      <c r="K93" s="35"/>
      <c r="P93" s="24"/>
      <c r="Q93" s="24"/>
    </row>
    <row r="94" spans="2:17" x14ac:dyDescent="0.25">
      <c r="B94" s="35">
        <v>25.75</v>
      </c>
      <c r="C94" s="123">
        <v>0</v>
      </c>
      <c r="D94" s="36">
        <v>2.7471884799999999E-2</v>
      </c>
      <c r="E94" s="36">
        <v>-8.5727010999999999E-3</v>
      </c>
      <c r="H94" s="35"/>
      <c r="I94" s="36"/>
      <c r="J94" s="35"/>
      <c r="K94" s="35"/>
      <c r="O94" s="115"/>
      <c r="P94" s="24"/>
      <c r="Q94" s="24"/>
    </row>
    <row r="95" spans="2:17" x14ac:dyDescent="0.25">
      <c r="B95" s="35">
        <v>26</v>
      </c>
      <c r="C95" s="123">
        <v>0</v>
      </c>
      <c r="D95" s="36">
        <v>2.7016975499999998E-2</v>
      </c>
      <c r="E95" s="36">
        <v>-8.9544597000000004E-3</v>
      </c>
      <c r="H95" s="35"/>
      <c r="I95" s="36"/>
      <c r="J95" s="35"/>
      <c r="K95" s="35"/>
      <c r="O95" s="115"/>
      <c r="P95" s="24"/>
      <c r="Q95" s="24"/>
    </row>
    <row r="96" spans="2:17" x14ac:dyDescent="0.25">
      <c r="B96" s="35">
        <v>26.25</v>
      </c>
      <c r="C96" s="123">
        <v>0</v>
      </c>
      <c r="D96" s="36">
        <v>2.65717416E-2</v>
      </c>
      <c r="E96" s="36">
        <v>-9.3851265999999999E-3</v>
      </c>
      <c r="H96" s="35"/>
      <c r="I96" s="36"/>
      <c r="J96" s="35"/>
      <c r="K96" s="35"/>
      <c r="O96" s="115"/>
      <c r="P96" s="24"/>
      <c r="Q96" s="24"/>
    </row>
    <row r="97" spans="2:17" x14ac:dyDescent="0.25">
      <c r="B97" s="35">
        <v>26.5</v>
      </c>
      <c r="C97" s="123">
        <v>0</v>
      </c>
      <c r="D97" s="36">
        <v>2.6136512000000001E-2</v>
      </c>
      <c r="E97" s="36">
        <v>-9.8631502000000003E-3</v>
      </c>
      <c r="H97" s="35"/>
      <c r="I97" s="36"/>
      <c r="J97" s="35"/>
      <c r="K97" s="35"/>
      <c r="O97" s="115"/>
      <c r="P97" s="24"/>
      <c r="Q97" s="24"/>
    </row>
    <row r="98" spans="2:17" x14ac:dyDescent="0.25">
      <c r="B98" s="35">
        <v>26.75</v>
      </c>
      <c r="C98" s="123">
        <v>0</v>
      </c>
      <c r="D98" s="36">
        <v>2.5711547099999999E-2</v>
      </c>
      <c r="E98" s="36">
        <v>-1.0386962899999999E-2</v>
      </c>
      <c r="H98" s="35"/>
      <c r="I98" s="36"/>
      <c r="J98" s="35"/>
      <c r="K98" s="35"/>
      <c r="O98" s="115"/>
      <c r="P98" s="24"/>
      <c r="Q98" s="24"/>
    </row>
    <row r="99" spans="2:17" x14ac:dyDescent="0.25">
      <c r="B99" s="35">
        <v>27</v>
      </c>
      <c r="C99" s="123">
        <v>0</v>
      </c>
      <c r="D99" s="36">
        <v>2.5297042299999999E-2</v>
      </c>
      <c r="E99" s="36">
        <v>-1.09551253E-2</v>
      </c>
      <c r="H99" s="35"/>
      <c r="I99" s="36"/>
      <c r="J99" s="35"/>
      <c r="K99" s="35"/>
      <c r="O99" s="115"/>
      <c r="P99" s="24"/>
      <c r="Q99" s="24"/>
    </row>
    <row r="100" spans="2:17" x14ac:dyDescent="0.25">
      <c r="B100" s="35">
        <v>27.25</v>
      </c>
      <c r="C100" s="123">
        <v>0</v>
      </c>
      <c r="D100" s="36">
        <v>2.4892849200000001E-2</v>
      </c>
      <c r="E100" s="36">
        <v>-1.15661754E-2</v>
      </c>
      <c r="H100" s="35"/>
      <c r="I100" s="36"/>
      <c r="J100" s="35"/>
      <c r="K100" s="35"/>
      <c r="O100" s="115"/>
      <c r="P100" s="24"/>
      <c r="Q100" s="24"/>
    </row>
    <row r="101" spans="2:17" x14ac:dyDescent="0.25">
      <c r="B101" s="35">
        <v>27.5</v>
      </c>
      <c r="C101" s="123">
        <v>0</v>
      </c>
      <c r="D101" s="36">
        <v>2.44981261E-2</v>
      </c>
      <c r="E101" s="36">
        <v>-1.2217889900000001E-2</v>
      </c>
      <c r="H101" s="35"/>
      <c r="I101" s="36"/>
      <c r="J101" s="35"/>
      <c r="K101" s="35"/>
      <c r="O101" s="115"/>
    </row>
    <row r="102" spans="2:17" x14ac:dyDescent="0.25">
      <c r="B102" s="35">
        <v>27.75</v>
      </c>
      <c r="C102" s="123">
        <v>0</v>
      </c>
      <c r="D102" s="36">
        <v>2.4111917100000001E-2</v>
      </c>
      <c r="E102" s="36">
        <v>-1.2907788599999999E-2</v>
      </c>
      <c r="H102" s="35"/>
      <c r="I102" s="36"/>
      <c r="J102" s="35"/>
      <c r="K102" s="35"/>
    </row>
    <row r="103" spans="2:17" x14ac:dyDescent="0.25">
      <c r="B103" s="35">
        <v>28</v>
      </c>
      <c r="C103" s="123">
        <v>0</v>
      </c>
      <c r="D103" s="36">
        <v>2.3733111000000001E-2</v>
      </c>
      <c r="E103" s="36">
        <v>-1.36334092E-2</v>
      </c>
      <c r="H103" s="35"/>
      <c r="I103" s="36"/>
      <c r="J103" s="35"/>
      <c r="K103" s="35"/>
    </row>
    <row r="104" spans="2:17" x14ac:dyDescent="0.25">
      <c r="B104" s="35">
        <v>28.25</v>
      </c>
      <c r="C104" s="123">
        <v>0</v>
      </c>
      <c r="D104" s="36">
        <v>2.3360672200000002E-2</v>
      </c>
      <c r="E104" s="36">
        <v>-1.43922849E-2</v>
      </c>
      <c r="H104" s="35"/>
      <c r="I104" s="36"/>
      <c r="J104" s="35"/>
      <c r="K104" s="35"/>
    </row>
    <row r="105" spans="2:17" x14ac:dyDescent="0.25">
      <c r="B105" s="35">
        <v>28.5</v>
      </c>
      <c r="C105" s="123">
        <v>0</v>
      </c>
      <c r="D105" s="36">
        <v>2.2993566199999999E-2</v>
      </c>
      <c r="E105" s="36">
        <v>-1.5182079899999999E-2</v>
      </c>
      <c r="H105" s="35"/>
      <c r="I105" s="36"/>
      <c r="J105" s="35"/>
      <c r="K105" s="35"/>
    </row>
    <row r="106" spans="2:17" x14ac:dyDescent="0.25">
      <c r="B106" s="35">
        <v>28.75</v>
      </c>
      <c r="C106" s="123">
        <v>0</v>
      </c>
      <c r="D106" s="36">
        <v>2.2630682900000001E-2</v>
      </c>
      <c r="E106" s="36">
        <v>-1.6000584599999999E-2</v>
      </c>
      <c r="H106" s="35"/>
      <c r="I106" s="36"/>
      <c r="J106" s="35"/>
      <c r="K106" s="35"/>
    </row>
    <row r="107" spans="2:17" x14ac:dyDescent="0.25">
      <c r="B107" s="35">
        <v>29</v>
      </c>
      <c r="C107" s="123">
        <v>0</v>
      </c>
      <c r="D107" s="36">
        <v>2.2270951600000002E-2</v>
      </c>
      <c r="E107" s="36">
        <v>-1.6845689800000001E-2</v>
      </c>
      <c r="H107" s="35"/>
      <c r="I107" s="36"/>
      <c r="J107" s="35"/>
      <c r="K107" s="35"/>
    </row>
    <row r="108" spans="2:17" x14ac:dyDescent="0.25">
      <c r="B108" s="35">
        <v>29.25</v>
      </c>
      <c r="C108" s="123">
        <v>0</v>
      </c>
      <c r="D108" s="36">
        <v>2.1913485100000001E-2</v>
      </c>
      <c r="E108" s="36">
        <v>-1.77153528E-2</v>
      </c>
      <c r="H108" s="35"/>
      <c r="I108" s="36"/>
      <c r="J108" s="35"/>
      <c r="K108" s="35"/>
    </row>
    <row r="109" spans="2:17" x14ac:dyDescent="0.25">
      <c r="B109" s="35">
        <v>29.5</v>
      </c>
      <c r="C109" s="123">
        <v>0</v>
      </c>
      <c r="D109" s="36">
        <v>2.15575665E-2</v>
      </c>
      <c r="E109" s="36">
        <v>-1.8608325700000001E-2</v>
      </c>
      <c r="H109" s="35"/>
      <c r="I109" s="36"/>
      <c r="J109" s="35"/>
      <c r="K109" s="35"/>
    </row>
    <row r="110" spans="2:17" x14ac:dyDescent="0.25">
      <c r="B110" s="35">
        <v>29.75</v>
      </c>
      <c r="C110" s="123">
        <v>0</v>
      </c>
      <c r="D110" s="36">
        <v>2.1202563800000001E-2</v>
      </c>
      <c r="E110" s="36">
        <v>-1.9523743400000002E-2</v>
      </c>
      <c r="H110" s="35"/>
      <c r="I110" s="36"/>
      <c r="J110" s="35"/>
      <c r="K110" s="35"/>
    </row>
    <row r="111" spans="2:17" x14ac:dyDescent="0.25">
      <c r="B111" s="35">
        <v>30</v>
      </c>
      <c r="C111" s="123">
        <v>0</v>
      </c>
      <c r="D111" s="36">
        <v>2.08478273E-2</v>
      </c>
      <c r="E111" s="36">
        <v>-2.0460747899999999E-2</v>
      </c>
      <c r="H111" s="35"/>
      <c r="I111" s="36"/>
      <c r="J111" s="35"/>
      <c r="K111" s="35"/>
    </row>
    <row r="112" spans="2:17" x14ac:dyDescent="0.25">
      <c r="B112" s="35">
        <v>30.25</v>
      </c>
      <c r="C112" s="123">
        <v>0</v>
      </c>
      <c r="D112" s="36">
        <v>2.04928833E-2</v>
      </c>
      <c r="E112" s="36">
        <v>-2.14183581E-2</v>
      </c>
      <c r="H112" s="35"/>
      <c r="I112" s="36"/>
      <c r="J112" s="35"/>
      <c r="K112" s="35"/>
    </row>
    <row r="113" spans="2:11" x14ac:dyDescent="0.25">
      <c r="B113" s="35">
        <v>30.5</v>
      </c>
      <c r="C113" s="123">
        <v>0</v>
      </c>
      <c r="D113" s="36">
        <v>2.013734E-2</v>
      </c>
      <c r="E113" s="36">
        <v>-2.2395447799999999E-2</v>
      </c>
      <c r="H113" s="35"/>
      <c r="I113" s="36"/>
      <c r="J113" s="35"/>
      <c r="K113" s="35"/>
    </row>
    <row r="114" spans="2:11" x14ac:dyDescent="0.25">
      <c r="B114" s="35">
        <v>30.75</v>
      </c>
      <c r="C114" s="123">
        <v>0</v>
      </c>
      <c r="D114" s="36">
        <v>1.9780937500000002E-2</v>
      </c>
      <c r="E114" s="36">
        <v>-2.3390798500000001E-2</v>
      </c>
      <c r="H114" s="35"/>
      <c r="I114" s="36"/>
      <c r="J114" s="35"/>
      <c r="K114" s="35"/>
    </row>
    <row r="115" spans="2:11" x14ac:dyDescent="0.25">
      <c r="B115" s="35">
        <v>31</v>
      </c>
      <c r="C115" s="123">
        <v>0</v>
      </c>
      <c r="D115" s="36">
        <v>1.9423402900000001E-2</v>
      </c>
      <c r="E115" s="36">
        <v>-2.4403117299999999E-2</v>
      </c>
      <c r="H115" s="35"/>
      <c r="I115" s="36"/>
      <c r="J115" s="35"/>
      <c r="K115" s="35"/>
    </row>
    <row r="116" spans="2:11" x14ac:dyDescent="0.25">
      <c r="B116" s="35">
        <v>31.25</v>
      </c>
      <c r="C116" s="123">
        <v>0</v>
      </c>
      <c r="D116" s="36">
        <v>1.90644323E-2</v>
      </c>
      <c r="E116" s="36">
        <v>-2.54311225E-2</v>
      </c>
      <c r="H116" s="35"/>
      <c r="I116" s="36"/>
      <c r="J116" s="35"/>
      <c r="K116" s="35"/>
    </row>
    <row r="117" spans="2:11" x14ac:dyDescent="0.25">
      <c r="B117" s="35">
        <v>31.5</v>
      </c>
      <c r="C117" s="123">
        <v>0</v>
      </c>
      <c r="D117" s="36">
        <v>1.8703520000000001E-2</v>
      </c>
      <c r="E117" s="36">
        <v>-2.6473734799999999E-2</v>
      </c>
      <c r="H117" s="35"/>
      <c r="I117" s="36"/>
      <c r="J117" s="35"/>
      <c r="K117" s="35"/>
    </row>
    <row r="118" spans="2:11" x14ac:dyDescent="0.25">
      <c r="B118" s="35">
        <v>31.75</v>
      </c>
      <c r="C118" s="123">
        <v>0</v>
      </c>
      <c r="D118" s="36">
        <v>1.83401264E-2</v>
      </c>
      <c r="E118" s="36">
        <v>-2.7529881199999998E-2</v>
      </c>
      <c r="H118" s="35"/>
      <c r="I118" s="36"/>
      <c r="J118" s="35"/>
      <c r="K118" s="35"/>
    </row>
    <row r="119" spans="2:11" x14ac:dyDescent="0.25">
      <c r="B119" s="35">
        <v>32</v>
      </c>
      <c r="C119" s="123">
        <v>0</v>
      </c>
      <c r="D119" s="36">
        <v>1.7973764600000001E-2</v>
      </c>
      <c r="E119" s="36">
        <v>-2.85984785E-2</v>
      </c>
      <c r="H119" s="35"/>
      <c r="I119" s="36"/>
      <c r="J119" s="35"/>
      <c r="K119" s="35"/>
    </row>
    <row r="120" spans="2:11" x14ac:dyDescent="0.25">
      <c r="B120" s="35">
        <v>32.25</v>
      </c>
      <c r="C120" s="123">
        <v>0</v>
      </c>
      <c r="D120" s="36">
        <v>1.76039882E-2</v>
      </c>
      <c r="E120" s="36">
        <v>-2.96783667E-2</v>
      </c>
      <c r="H120" s="35"/>
      <c r="I120" s="36"/>
      <c r="J120" s="35"/>
      <c r="K120" s="35"/>
    </row>
    <row r="121" spans="2:11" x14ac:dyDescent="0.25">
      <c r="B121" s="35">
        <v>32.5</v>
      </c>
      <c r="C121" s="123">
        <v>0</v>
      </c>
      <c r="D121" s="36">
        <v>1.7230682399999999E-2</v>
      </c>
      <c r="E121" s="36">
        <v>-3.0768194299999999E-2</v>
      </c>
      <c r="H121" s="35"/>
      <c r="I121" s="36"/>
      <c r="J121" s="35"/>
      <c r="K121" s="35"/>
    </row>
    <row r="122" spans="2:11" x14ac:dyDescent="0.25">
      <c r="B122" s="35">
        <v>32.75</v>
      </c>
      <c r="C122" s="123">
        <v>0</v>
      </c>
      <c r="D122" s="36">
        <v>1.6853832499999999E-2</v>
      </c>
      <c r="E122" s="36">
        <v>-3.1866690199999999E-2</v>
      </c>
      <c r="H122" s="35"/>
      <c r="I122" s="36"/>
      <c r="J122" s="35"/>
      <c r="K122" s="35"/>
    </row>
    <row r="123" spans="2:11" x14ac:dyDescent="0.25">
      <c r="B123" s="35">
        <v>33</v>
      </c>
      <c r="C123" s="123">
        <v>0</v>
      </c>
      <c r="D123" s="36">
        <v>1.6473482599999999E-2</v>
      </c>
      <c r="E123" s="36">
        <v>-3.2972594799999998E-2</v>
      </c>
      <c r="H123" s="35"/>
      <c r="I123" s="36"/>
      <c r="J123" s="35"/>
      <c r="K123" s="35"/>
    </row>
    <row r="124" spans="2:11" x14ac:dyDescent="0.25">
      <c r="B124" s="35">
        <v>33.25</v>
      </c>
      <c r="C124" s="123">
        <v>0</v>
      </c>
      <c r="D124" s="36">
        <v>1.6089575599999999E-2</v>
      </c>
      <c r="E124" s="36">
        <v>-3.4084726400000001E-2</v>
      </c>
      <c r="H124" s="35"/>
      <c r="I124" s="36"/>
      <c r="J124" s="35"/>
      <c r="K124" s="35"/>
    </row>
    <row r="125" spans="2:11" x14ac:dyDescent="0.25">
      <c r="B125" s="35">
        <v>33.5</v>
      </c>
      <c r="C125" s="123">
        <v>0</v>
      </c>
      <c r="D125" s="36">
        <v>1.5701744199999999E-2</v>
      </c>
      <c r="E125" s="36">
        <v>-3.52020849E-2</v>
      </c>
      <c r="H125" s="35"/>
      <c r="I125" s="36"/>
      <c r="J125" s="35"/>
      <c r="K125" s="35"/>
    </row>
    <row r="126" spans="2:11" x14ac:dyDescent="0.25">
      <c r="B126" s="35">
        <v>33.75</v>
      </c>
      <c r="C126" s="123">
        <v>0</v>
      </c>
      <c r="D126" s="36">
        <v>1.5309575000000001E-2</v>
      </c>
      <c r="E126" s="36">
        <v>-3.6323687100000002E-2</v>
      </c>
      <c r="H126" s="35"/>
      <c r="I126" s="36"/>
      <c r="J126" s="35"/>
      <c r="K126" s="35"/>
    </row>
    <row r="127" spans="2:11" x14ac:dyDescent="0.25">
      <c r="B127" s="35">
        <v>34</v>
      </c>
      <c r="C127" s="123">
        <v>0</v>
      </c>
      <c r="D127" s="36">
        <v>1.49128258E-2</v>
      </c>
      <c r="E127" s="36">
        <v>-3.7448412700000003E-2</v>
      </c>
      <c r="H127" s="35"/>
      <c r="I127" s="36"/>
      <c r="J127" s="35"/>
      <c r="K127" s="35"/>
    </row>
    <row r="128" spans="2:11" x14ac:dyDescent="0.25">
      <c r="B128" s="35">
        <v>34.25</v>
      </c>
      <c r="C128" s="123">
        <v>0</v>
      </c>
      <c r="D128" s="36">
        <v>1.45113746E-2</v>
      </c>
      <c r="E128" s="36">
        <v>-3.8575060899999999E-2</v>
      </c>
      <c r="H128" s="35"/>
      <c r="I128" s="36"/>
      <c r="J128" s="35"/>
      <c r="K128" s="35"/>
    </row>
    <row r="129" spans="2:11" x14ac:dyDescent="0.25">
      <c r="B129" s="35">
        <v>34.5</v>
      </c>
      <c r="C129" s="123">
        <v>0</v>
      </c>
      <c r="D129" s="36">
        <v>1.4105537499999999E-2</v>
      </c>
      <c r="E129" s="36">
        <v>-3.9702018899999997E-2</v>
      </c>
      <c r="H129" s="35"/>
      <c r="I129" s="36"/>
      <c r="J129" s="35"/>
      <c r="K129" s="35"/>
    </row>
    <row r="130" spans="2:11" x14ac:dyDescent="0.25">
      <c r="B130" s="35">
        <v>34.75</v>
      </c>
      <c r="C130" s="123">
        <v>0</v>
      </c>
      <c r="D130" s="36">
        <v>1.36957399E-2</v>
      </c>
      <c r="E130" s="36">
        <v>-4.0827614700000001E-2</v>
      </c>
      <c r="H130" s="35"/>
      <c r="I130" s="36"/>
      <c r="J130" s="35"/>
      <c r="K130" s="35"/>
    </row>
    <row r="131" spans="2:11" x14ac:dyDescent="0.25">
      <c r="B131" s="35">
        <v>35</v>
      </c>
      <c r="C131" s="123">
        <v>0</v>
      </c>
      <c r="D131" s="36">
        <v>1.32822783E-2</v>
      </c>
      <c r="E131" s="36">
        <v>-4.1950268999999998E-2</v>
      </c>
      <c r="H131" s="35"/>
      <c r="I131" s="36"/>
      <c r="J131" s="35"/>
      <c r="K131" s="35"/>
    </row>
    <row r="132" spans="2:11" x14ac:dyDescent="0.25">
      <c r="B132" s="35">
        <v>35.25</v>
      </c>
      <c r="C132" s="123">
        <v>0</v>
      </c>
      <c r="D132" s="36">
        <v>1.2865424E-2</v>
      </c>
      <c r="E132" s="36">
        <v>-4.30684229E-2</v>
      </c>
      <c r="H132" s="35"/>
      <c r="I132" s="36"/>
      <c r="J132" s="35"/>
      <c r="K132" s="35"/>
    </row>
    <row r="133" spans="2:11" x14ac:dyDescent="0.25">
      <c r="B133" s="35">
        <v>35.5</v>
      </c>
      <c r="C133" s="123">
        <v>0</v>
      </c>
      <c r="D133" s="36">
        <v>1.2445649600000001E-2</v>
      </c>
      <c r="E133" s="36">
        <v>-4.4180509700000002E-2</v>
      </c>
      <c r="H133" s="35"/>
      <c r="I133" s="36"/>
      <c r="J133" s="35"/>
      <c r="K133" s="35"/>
    </row>
    <row r="134" spans="2:11" x14ac:dyDescent="0.25">
      <c r="B134" s="35">
        <v>35.75</v>
      </c>
      <c r="C134" s="123">
        <v>0</v>
      </c>
      <c r="D134" s="36">
        <v>1.2023402000000001E-2</v>
      </c>
      <c r="E134" s="36">
        <v>-4.5285053200000001E-2</v>
      </c>
      <c r="H134" s="35"/>
      <c r="I134" s="36"/>
      <c r="J134" s="35"/>
      <c r="K134" s="35"/>
    </row>
    <row r="135" spans="2:11" x14ac:dyDescent="0.25">
      <c r="B135" s="35">
        <v>36</v>
      </c>
      <c r="C135" s="123">
        <v>0</v>
      </c>
      <c r="D135" s="36">
        <v>1.15990503E-2</v>
      </c>
      <c r="E135" s="36">
        <v>-4.6380568300000001E-2</v>
      </c>
      <c r="H135" s="35"/>
      <c r="I135" s="36"/>
      <c r="J135" s="35"/>
      <c r="K135" s="35"/>
    </row>
    <row r="136" spans="2:11" x14ac:dyDescent="0.25">
      <c r="B136" s="35">
        <v>36.25</v>
      </c>
      <c r="C136" s="123">
        <v>0</v>
      </c>
      <c r="D136" s="36">
        <v>1.1172969099999999E-2</v>
      </c>
      <c r="E136" s="36">
        <v>-4.7465518700000001E-2</v>
      </c>
      <c r="H136" s="35"/>
      <c r="I136" s="36"/>
      <c r="J136" s="35"/>
      <c r="K136" s="35"/>
    </row>
    <row r="137" spans="2:11" x14ac:dyDescent="0.25">
      <c r="B137" s="35">
        <v>36.5</v>
      </c>
      <c r="C137" s="123">
        <v>0</v>
      </c>
      <c r="D137" s="36">
        <v>1.07455234E-2</v>
      </c>
      <c r="E137" s="36">
        <v>-4.8538410900000002E-2</v>
      </c>
      <c r="H137" s="35"/>
      <c r="I137" s="36"/>
      <c r="J137" s="35"/>
      <c r="K137" s="35"/>
    </row>
    <row r="138" spans="2:11" x14ac:dyDescent="0.25">
      <c r="B138" s="35">
        <v>36.75</v>
      </c>
      <c r="C138" s="123">
        <v>0</v>
      </c>
      <c r="D138" s="36">
        <v>1.03170155E-2</v>
      </c>
      <c r="E138" s="36">
        <v>-4.9597771999999998E-2</v>
      </c>
      <c r="H138" s="35"/>
      <c r="I138" s="36"/>
      <c r="J138" s="35"/>
      <c r="K138" s="35"/>
    </row>
    <row r="139" spans="2:11" x14ac:dyDescent="0.25">
      <c r="B139" s="35">
        <v>37</v>
      </c>
      <c r="C139" s="123">
        <v>0</v>
      </c>
      <c r="D139" s="36">
        <v>9.8877553999999999E-3</v>
      </c>
      <c r="E139" s="36">
        <v>-5.0642113199999998E-2</v>
      </c>
      <c r="H139" s="35"/>
      <c r="I139" s="36"/>
      <c r="J139" s="35"/>
      <c r="K139" s="35"/>
    </row>
    <row r="140" spans="2:11" x14ac:dyDescent="0.25">
      <c r="B140" s="35">
        <v>37.25</v>
      </c>
      <c r="C140" s="123">
        <v>0</v>
      </c>
      <c r="D140" s="36">
        <v>9.4581317000000005E-3</v>
      </c>
      <c r="E140" s="36">
        <v>-5.1669888400000002E-2</v>
      </c>
      <c r="H140" s="35"/>
      <c r="I140" s="36"/>
      <c r="J140" s="35"/>
      <c r="K140" s="35"/>
    </row>
    <row r="141" spans="2:11" x14ac:dyDescent="0.25">
      <c r="B141" s="35">
        <v>37.5</v>
      </c>
      <c r="C141" s="123">
        <v>0</v>
      </c>
      <c r="D141" s="36">
        <v>9.0288037000000008E-3</v>
      </c>
      <c r="E141" s="36">
        <v>-5.2679372000000002E-2</v>
      </c>
      <c r="H141" s="35"/>
      <c r="I141" s="36"/>
      <c r="J141" s="35"/>
      <c r="K141" s="35"/>
    </row>
    <row r="142" spans="2:11" x14ac:dyDescent="0.25">
      <c r="B142" s="35">
        <v>37.75</v>
      </c>
      <c r="C142" s="123">
        <v>0</v>
      </c>
      <c r="D142" s="36">
        <v>8.6004112999999993E-3</v>
      </c>
      <c r="E142" s="36">
        <v>-5.3668859300000003E-2</v>
      </c>
      <c r="H142" s="35"/>
      <c r="I142" s="36"/>
      <c r="J142" s="35"/>
      <c r="K142" s="35"/>
    </row>
    <row r="143" spans="2:11" x14ac:dyDescent="0.25">
      <c r="B143" s="35">
        <v>38</v>
      </c>
      <c r="C143" s="123">
        <v>0</v>
      </c>
      <c r="D143" s="36">
        <v>8.1734319999999996E-3</v>
      </c>
      <c r="E143" s="36">
        <v>-5.4636645499999997E-2</v>
      </c>
      <c r="H143" s="35"/>
      <c r="I143" s="36"/>
      <c r="J143" s="35"/>
      <c r="K143" s="35"/>
    </row>
    <row r="144" spans="2:11" x14ac:dyDescent="0.25">
      <c r="B144" s="35">
        <v>38.25</v>
      </c>
      <c r="C144" s="123">
        <v>0</v>
      </c>
      <c r="D144" s="36">
        <v>7.748268E-3</v>
      </c>
      <c r="E144" s="36">
        <v>-5.5580985300000003E-2</v>
      </c>
      <c r="H144" s="35"/>
      <c r="I144" s="36"/>
      <c r="J144" s="35"/>
      <c r="K144" s="35"/>
    </row>
    <row r="145" spans="2:11" x14ac:dyDescent="0.25">
      <c r="B145" s="35">
        <v>38.5</v>
      </c>
      <c r="C145" s="123">
        <v>0</v>
      </c>
      <c r="D145" s="36">
        <v>7.3255617000000002E-3</v>
      </c>
      <c r="E145" s="36">
        <v>-5.6500091799999999E-2</v>
      </c>
      <c r="H145" s="35"/>
      <c r="I145" s="36"/>
      <c r="J145" s="35"/>
      <c r="K145" s="35"/>
    </row>
    <row r="146" spans="2:11" x14ac:dyDescent="0.25">
      <c r="B146" s="35">
        <v>38.75</v>
      </c>
      <c r="C146" s="123">
        <v>0</v>
      </c>
      <c r="D146" s="36">
        <v>6.9059912000000003E-3</v>
      </c>
      <c r="E146" s="36">
        <v>-5.7392270600000003E-2</v>
      </c>
      <c r="H146" s="35"/>
      <c r="I146" s="36"/>
      <c r="J146" s="35"/>
      <c r="K146" s="35"/>
    </row>
    <row r="147" spans="2:11" x14ac:dyDescent="0.25">
      <c r="B147" s="35">
        <v>39</v>
      </c>
      <c r="C147" s="123">
        <v>0</v>
      </c>
      <c r="D147" s="36">
        <v>6.4901053E-3</v>
      </c>
      <c r="E147" s="36">
        <v>-5.8255920500000002E-2</v>
      </c>
      <c r="H147" s="35"/>
      <c r="I147" s="36"/>
      <c r="J147" s="35"/>
      <c r="K147" s="35"/>
    </row>
    <row r="148" spans="2:11" x14ac:dyDescent="0.25">
      <c r="B148" s="35">
        <v>39.25</v>
      </c>
      <c r="C148" s="123">
        <v>0</v>
      </c>
      <c r="D148" s="36">
        <v>6.0783592999999999E-3</v>
      </c>
      <c r="E148" s="36">
        <v>-5.9089582699999997E-2</v>
      </c>
      <c r="H148" s="35"/>
      <c r="I148" s="36"/>
      <c r="J148" s="35"/>
      <c r="K148" s="35"/>
    </row>
    <row r="149" spans="2:11" x14ac:dyDescent="0.25">
      <c r="B149" s="35">
        <v>39.5</v>
      </c>
      <c r="C149" s="123">
        <v>0</v>
      </c>
      <c r="D149" s="36">
        <v>5.6713129000000003E-3</v>
      </c>
      <c r="E149" s="36">
        <v>-5.9891992800000002E-2</v>
      </c>
      <c r="H149" s="35"/>
      <c r="I149" s="36"/>
      <c r="J149" s="35"/>
      <c r="K149" s="35"/>
    </row>
    <row r="150" spans="2:11" x14ac:dyDescent="0.25">
      <c r="B150" s="35">
        <v>39.75</v>
      </c>
      <c r="C150" s="123">
        <v>0</v>
      </c>
      <c r="D150" s="36">
        <v>5.2695789000000003E-3</v>
      </c>
      <c r="E150" s="36">
        <v>-6.0661911399999997E-2</v>
      </c>
      <c r="H150" s="35"/>
      <c r="I150" s="36"/>
      <c r="J150" s="35"/>
      <c r="K150" s="35"/>
    </row>
    <row r="151" spans="2:11" x14ac:dyDescent="0.25">
      <c r="B151" s="35">
        <v>40</v>
      </c>
      <c r="C151" s="123">
        <v>0</v>
      </c>
      <c r="D151" s="36">
        <v>4.8736737999999996E-3</v>
      </c>
      <c r="E151" s="36">
        <v>-6.1398179999999997E-2</v>
      </c>
      <c r="H151" s="35"/>
      <c r="I151" s="36"/>
      <c r="J151" s="35"/>
      <c r="K151" s="35"/>
    </row>
    <row r="152" spans="2:11" x14ac:dyDescent="0.25">
      <c r="B152" s="35">
        <v>40.25</v>
      </c>
      <c r="C152" s="123">
        <v>0</v>
      </c>
      <c r="D152" s="36">
        <v>4.4840156000000003E-3</v>
      </c>
      <c r="E152" s="36">
        <v>-6.2099595200000003E-2</v>
      </c>
      <c r="H152" s="35"/>
      <c r="I152" s="36"/>
      <c r="J152" s="35"/>
      <c r="K152" s="35"/>
    </row>
    <row r="153" spans="2:11" x14ac:dyDescent="0.25">
      <c r="B153" s="35">
        <v>40.5</v>
      </c>
      <c r="C153" s="123">
        <v>0</v>
      </c>
      <c r="D153" s="36">
        <v>4.1010459999999997E-3</v>
      </c>
      <c r="E153" s="36">
        <v>-6.2764745299999994E-2</v>
      </c>
      <c r="H153" s="35"/>
      <c r="I153" s="36"/>
      <c r="J153" s="35"/>
      <c r="K153" s="35"/>
    </row>
    <row r="154" spans="2:11" x14ac:dyDescent="0.25">
      <c r="B154" s="35">
        <v>40.75</v>
      </c>
      <c r="C154" s="123">
        <v>0</v>
      </c>
      <c r="D154" s="36">
        <v>3.7251100999999998E-3</v>
      </c>
      <c r="E154" s="36">
        <v>-6.3392157099999999E-2</v>
      </c>
      <c r="H154" s="35"/>
      <c r="I154" s="36"/>
      <c r="J154" s="35"/>
      <c r="K154" s="35"/>
    </row>
    <row r="155" spans="2:11" x14ac:dyDescent="0.25">
      <c r="B155" s="35">
        <v>41</v>
      </c>
      <c r="C155" s="123">
        <v>0</v>
      </c>
      <c r="D155" s="36">
        <v>3.3564704E-3</v>
      </c>
      <c r="E155" s="36">
        <v>-6.3980395699999998E-2</v>
      </c>
      <c r="H155" s="35"/>
      <c r="I155" s="36"/>
      <c r="J155" s="35"/>
      <c r="K155" s="35"/>
    </row>
    <row r="156" spans="2:11" x14ac:dyDescent="0.25">
      <c r="B156" s="35">
        <v>41.25</v>
      </c>
      <c r="C156" s="123">
        <v>0</v>
      </c>
      <c r="D156" s="36">
        <v>2.9953531000000001E-3</v>
      </c>
      <c r="E156" s="36">
        <v>-6.45282524E-2</v>
      </c>
      <c r="H156" s="35"/>
      <c r="I156" s="36"/>
      <c r="J156" s="35"/>
      <c r="K156" s="35"/>
    </row>
    <row r="157" spans="2:11" x14ac:dyDescent="0.25">
      <c r="B157" s="35">
        <v>41.5</v>
      </c>
      <c r="C157" s="123">
        <v>0</v>
      </c>
      <c r="D157" s="36">
        <v>2.6419942E-3</v>
      </c>
      <c r="E157" s="36">
        <v>-6.5034988799999999E-2</v>
      </c>
      <c r="H157" s="35"/>
      <c r="I157" s="36"/>
      <c r="J157" s="35"/>
      <c r="K157" s="35"/>
    </row>
    <row r="158" spans="2:11" x14ac:dyDescent="0.25">
      <c r="B158" s="35">
        <v>41.75</v>
      </c>
      <c r="C158" s="123">
        <v>0</v>
      </c>
      <c r="D158" s="36">
        <v>2.2965500000000001E-3</v>
      </c>
      <c r="E158" s="36">
        <v>-6.5500036400000003E-2</v>
      </c>
      <c r="H158" s="35"/>
      <c r="I158" s="36"/>
      <c r="J158" s="35"/>
      <c r="K158" s="35"/>
    </row>
    <row r="159" spans="2:11" x14ac:dyDescent="0.25">
      <c r="B159" s="35">
        <v>42</v>
      </c>
      <c r="C159" s="123">
        <v>0</v>
      </c>
      <c r="D159" s="36">
        <v>1.9590454000000001E-3</v>
      </c>
      <c r="E159" s="36">
        <v>-6.5922898100000002E-2</v>
      </c>
      <c r="H159" s="35"/>
      <c r="I159" s="36"/>
      <c r="J159" s="35"/>
      <c r="K159" s="35"/>
    </row>
    <row r="160" spans="2:11" x14ac:dyDescent="0.25">
      <c r="B160" s="35">
        <v>42.25</v>
      </c>
      <c r="C160" s="123">
        <v>0</v>
      </c>
      <c r="D160" s="36">
        <v>1.6294841999999999E-3</v>
      </c>
      <c r="E160" s="36">
        <v>-6.6303097599999999E-2</v>
      </c>
      <c r="H160" s="35"/>
      <c r="I160" s="36"/>
      <c r="J160" s="35"/>
      <c r="K160" s="35"/>
    </row>
    <row r="161" spans="2:11" x14ac:dyDescent="0.25">
      <c r="B161" s="35">
        <v>42.5</v>
      </c>
      <c r="C161" s="123">
        <v>0</v>
      </c>
      <c r="D161" s="36">
        <v>1.3079477999999999E-3</v>
      </c>
      <c r="E161" s="36">
        <v>-6.6640232199999996E-2</v>
      </c>
      <c r="H161" s="35"/>
      <c r="I161" s="36"/>
      <c r="J161" s="35"/>
      <c r="K161" s="35"/>
    </row>
    <row r="162" spans="2:11" x14ac:dyDescent="0.25">
      <c r="B162" s="35">
        <v>42.75</v>
      </c>
      <c r="C162" s="123">
        <v>0</v>
      </c>
      <c r="D162" s="36">
        <v>9.9449460000000005E-4</v>
      </c>
      <c r="E162" s="36">
        <v>-6.6933916999999996E-2</v>
      </c>
      <c r="H162" s="35"/>
      <c r="I162" s="36"/>
      <c r="J162" s="35"/>
      <c r="K162" s="35"/>
    </row>
    <row r="163" spans="2:11" x14ac:dyDescent="0.25">
      <c r="B163" s="35">
        <v>43</v>
      </c>
      <c r="C163" s="123">
        <v>0</v>
      </c>
      <c r="D163" s="36">
        <v>6.8911229999999996E-4</v>
      </c>
      <c r="E163" s="36">
        <v>-6.7183843399999998E-2</v>
      </c>
      <c r="H163" s="35"/>
      <c r="I163" s="36"/>
      <c r="J163" s="35"/>
      <c r="K163" s="35"/>
    </row>
    <row r="164" spans="2:11" x14ac:dyDescent="0.25">
      <c r="B164" s="35">
        <v>43.25</v>
      </c>
      <c r="C164" s="123">
        <v>0</v>
      </c>
      <c r="D164" s="36">
        <v>3.9169710000000002E-4</v>
      </c>
      <c r="E164" s="36">
        <v>-6.7389837999999994E-2</v>
      </c>
      <c r="H164" s="35"/>
      <c r="I164" s="36"/>
      <c r="J164" s="35"/>
      <c r="K164" s="35"/>
    </row>
    <row r="165" spans="2:11" x14ac:dyDescent="0.25">
      <c r="B165" s="35">
        <v>43.5</v>
      </c>
      <c r="C165" s="123">
        <v>0</v>
      </c>
      <c r="D165" s="36">
        <v>1.0209369999999999E-4</v>
      </c>
      <c r="E165" s="36">
        <v>-6.7551831300000004E-2</v>
      </c>
      <c r="H165" s="35"/>
      <c r="I165" s="36"/>
      <c r="J165" s="35"/>
      <c r="K165" s="35"/>
    </row>
    <row r="166" spans="2:11" x14ac:dyDescent="0.25">
      <c r="B166" s="35">
        <v>43.75</v>
      </c>
      <c r="C166" s="123">
        <v>0</v>
      </c>
      <c r="D166" s="36">
        <v>-1.7991719999999999E-4</v>
      </c>
      <c r="E166" s="36">
        <v>-6.7669652100000005E-2</v>
      </c>
      <c r="H166" s="35"/>
      <c r="I166" s="36"/>
      <c r="J166" s="35"/>
      <c r="K166" s="35"/>
    </row>
    <row r="167" spans="2:11" x14ac:dyDescent="0.25">
      <c r="B167" s="35">
        <v>44</v>
      </c>
      <c r="C167" s="123">
        <v>0</v>
      </c>
      <c r="D167" s="36">
        <v>-4.5462289999999999E-4</v>
      </c>
      <c r="E167" s="36">
        <v>-6.77430329E-2</v>
      </c>
      <c r="H167" s="35"/>
      <c r="I167" s="36"/>
      <c r="J167" s="35"/>
      <c r="K167" s="35"/>
    </row>
    <row r="168" spans="2:11" x14ac:dyDescent="0.25">
      <c r="B168" s="35">
        <v>44.25</v>
      </c>
      <c r="C168" s="123">
        <v>0</v>
      </c>
      <c r="D168" s="36">
        <v>-7.2227480000000002E-4</v>
      </c>
      <c r="E168" s="36">
        <v>-6.7771588399999999E-2</v>
      </c>
      <c r="H168" s="35"/>
      <c r="I168" s="36"/>
      <c r="J168" s="35"/>
      <c r="K168" s="35"/>
    </row>
    <row r="169" spans="2:11" x14ac:dyDescent="0.25">
      <c r="B169" s="35">
        <v>44.5</v>
      </c>
      <c r="C169" s="123">
        <v>0</v>
      </c>
      <c r="D169" s="36">
        <v>-9.8296329999999999E-4</v>
      </c>
      <c r="E169" s="36">
        <v>-6.7754865600000005E-2</v>
      </c>
      <c r="H169" s="35"/>
      <c r="I169" s="36"/>
      <c r="J169" s="35"/>
      <c r="K169" s="35"/>
    </row>
    <row r="170" spans="2:11" x14ac:dyDescent="0.25">
      <c r="B170" s="35">
        <v>44.75</v>
      </c>
      <c r="C170" s="123">
        <v>0</v>
      </c>
      <c r="D170" s="36">
        <v>-1.2367897999999999E-3</v>
      </c>
      <c r="E170" s="36">
        <v>-6.7692447099999997E-2</v>
      </c>
      <c r="H170" s="35"/>
      <c r="I170" s="36"/>
      <c r="J170" s="35"/>
      <c r="K170" s="35"/>
    </row>
    <row r="171" spans="2:11" x14ac:dyDescent="0.25">
      <c r="B171" s="35">
        <v>45</v>
      </c>
      <c r="C171" s="123">
        <v>0</v>
      </c>
      <c r="D171" s="36">
        <v>-1.4839015999999999E-3</v>
      </c>
      <c r="E171" s="36">
        <v>-6.7584026399999997E-2</v>
      </c>
      <c r="H171" s="35"/>
      <c r="I171" s="36"/>
      <c r="J171" s="35"/>
      <c r="K171" s="35"/>
    </row>
    <row r="172" spans="2:11" x14ac:dyDescent="0.25">
      <c r="B172" s="35">
        <v>45.25</v>
      </c>
      <c r="C172" s="123">
        <v>0</v>
      </c>
      <c r="D172" s="36">
        <v>-1.7244357999999999E-3</v>
      </c>
      <c r="E172" s="36">
        <v>-6.7429451299999998E-2</v>
      </c>
      <c r="H172" s="35"/>
      <c r="I172" s="36"/>
      <c r="J172" s="35"/>
      <c r="K172" s="35"/>
    </row>
    <row r="173" spans="2:11" x14ac:dyDescent="0.25">
      <c r="B173" s="35">
        <v>45.5</v>
      </c>
      <c r="C173" s="123">
        <v>0</v>
      </c>
      <c r="D173" s="36">
        <v>-1.9584490000000001E-3</v>
      </c>
      <c r="E173" s="36">
        <v>-6.7228829800000001E-2</v>
      </c>
      <c r="H173" s="35"/>
      <c r="I173" s="36"/>
      <c r="J173" s="35"/>
      <c r="K173" s="35"/>
    </row>
    <row r="174" spans="2:11" x14ac:dyDescent="0.25">
      <c r="B174" s="35">
        <v>45.75</v>
      </c>
      <c r="C174" s="123">
        <v>0</v>
      </c>
      <c r="D174" s="36">
        <v>-2.1860469E-3</v>
      </c>
      <c r="E174" s="36">
        <v>-6.6982379600000003E-2</v>
      </c>
      <c r="H174" s="35"/>
      <c r="I174" s="36"/>
      <c r="J174" s="35"/>
      <c r="K174" s="35"/>
    </row>
    <row r="175" spans="2:11" x14ac:dyDescent="0.25">
      <c r="B175" s="35">
        <v>46</v>
      </c>
      <c r="C175" s="123">
        <v>0</v>
      </c>
      <c r="D175" s="36">
        <v>-2.4074220999999998E-3</v>
      </c>
      <c r="E175" s="36">
        <v>-6.6690319999999997E-2</v>
      </c>
      <c r="H175" s="35"/>
      <c r="I175" s="36"/>
      <c r="J175" s="35"/>
      <c r="K175" s="35"/>
    </row>
    <row r="176" spans="2:11" x14ac:dyDescent="0.25">
      <c r="B176" s="35">
        <v>46.25</v>
      </c>
      <c r="C176" s="123">
        <v>0</v>
      </c>
      <c r="D176" s="36">
        <v>-2.6227849999999999E-3</v>
      </c>
      <c r="E176" s="36">
        <v>-6.6352890900000003E-2</v>
      </c>
      <c r="H176" s="35"/>
      <c r="I176" s="36"/>
      <c r="J176" s="35"/>
      <c r="K176" s="35"/>
    </row>
    <row r="177" spans="2:11" x14ac:dyDescent="0.25">
      <c r="B177" s="35">
        <v>46.5</v>
      </c>
      <c r="C177" s="123">
        <v>0</v>
      </c>
      <c r="D177" s="36">
        <v>-2.8322245000000001E-3</v>
      </c>
      <c r="E177" s="36">
        <v>-6.5970572300000002E-2</v>
      </c>
      <c r="H177" s="35"/>
      <c r="I177" s="36"/>
      <c r="J177" s="35"/>
      <c r="K177" s="35"/>
    </row>
    <row r="178" spans="2:11" x14ac:dyDescent="0.25">
      <c r="B178" s="35">
        <v>46.75</v>
      </c>
      <c r="C178" s="123">
        <v>0</v>
      </c>
      <c r="D178" s="36">
        <v>-3.0358463000000001E-3</v>
      </c>
      <c r="E178" s="36">
        <v>-6.5543853599999993E-2</v>
      </c>
      <c r="H178" s="35"/>
      <c r="I178" s="36"/>
      <c r="J178" s="35"/>
      <c r="K178" s="35"/>
    </row>
    <row r="179" spans="2:11" x14ac:dyDescent="0.25">
      <c r="B179" s="35">
        <v>47</v>
      </c>
      <c r="C179" s="123">
        <v>0</v>
      </c>
      <c r="D179" s="36">
        <v>-3.2337689E-3</v>
      </c>
      <c r="E179" s="36">
        <v>-6.5073184699999995E-2</v>
      </c>
      <c r="H179" s="35"/>
      <c r="I179" s="36"/>
      <c r="J179" s="35"/>
      <c r="K179" s="35"/>
    </row>
    <row r="180" spans="2:11" x14ac:dyDescent="0.25">
      <c r="B180" s="35">
        <v>47.25</v>
      </c>
      <c r="C180" s="123">
        <v>0</v>
      </c>
      <c r="D180" s="36">
        <v>-3.4260799000000002E-3</v>
      </c>
      <c r="E180" s="36">
        <v>-6.4558964600000004E-2</v>
      </c>
      <c r="H180" s="35"/>
      <c r="I180" s="36"/>
      <c r="J180" s="35"/>
      <c r="K180" s="35"/>
    </row>
    <row r="181" spans="2:11" x14ac:dyDescent="0.25">
      <c r="B181" s="35">
        <v>47.5</v>
      </c>
      <c r="C181" s="123">
        <v>0</v>
      </c>
      <c r="D181" s="36">
        <v>-3.6128217999999998E-3</v>
      </c>
      <c r="E181" s="36">
        <v>-6.4001468199999995E-2</v>
      </c>
      <c r="H181" s="35"/>
      <c r="I181" s="36"/>
      <c r="J181" s="35"/>
      <c r="K181" s="35"/>
    </row>
    <row r="182" spans="2:11" x14ac:dyDescent="0.25">
      <c r="B182" s="35">
        <v>47.75</v>
      </c>
      <c r="C182" s="123">
        <v>0</v>
      </c>
      <c r="D182" s="36">
        <v>-3.7940892000000001E-3</v>
      </c>
      <c r="E182" s="36">
        <v>-6.34009611E-2</v>
      </c>
      <c r="H182" s="35"/>
      <c r="I182" s="36"/>
      <c r="J182" s="35"/>
      <c r="K182" s="35"/>
    </row>
    <row r="183" spans="2:11" x14ac:dyDescent="0.25">
      <c r="B183" s="35">
        <v>48</v>
      </c>
      <c r="C183" s="123">
        <v>0</v>
      </c>
      <c r="D183" s="36">
        <v>-3.9700439000000002E-3</v>
      </c>
      <c r="E183" s="36">
        <v>-6.2757757900000002E-2</v>
      </c>
      <c r="H183" s="35"/>
      <c r="I183" s="36"/>
      <c r="J183" s="35"/>
      <c r="K183" s="35"/>
    </row>
    <row r="184" spans="2:11" x14ac:dyDescent="0.25">
      <c r="B184" s="35">
        <v>48.25</v>
      </c>
      <c r="C184" s="123">
        <v>0</v>
      </c>
      <c r="D184" s="36">
        <v>-4.1409009000000002E-3</v>
      </c>
      <c r="E184" s="36">
        <v>-6.2072232400000003E-2</v>
      </c>
      <c r="H184" s="35"/>
      <c r="I184" s="36"/>
      <c r="J184" s="35"/>
      <c r="K184" s="35"/>
    </row>
    <row r="185" spans="2:11" x14ac:dyDescent="0.25">
      <c r="B185" s="35">
        <v>48.5</v>
      </c>
      <c r="C185" s="123">
        <v>0</v>
      </c>
      <c r="D185" s="36">
        <v>-4.3068623000000004E-3</v>
      </c>
      <c r="E185" s="36">
        <v>-6.1344775800000001E-2</v>
      </c>
      <c r="H185" s="35"/>
      <c r="I185" s="36"/>
      <c r="J185" s="35"/>
      <c r="K185" s="35"/>
    </row>
    <row r="186" spans="2:11" x14ac:dyDescent="0.25">
      <c r="B186" s="35">
        <v>48.75</v>
      </c>
      <c r="C186" s="123">
        <v>0</v>
      </c>
      <c r="D186" s="36">
        <v>-4.4681531000000003E-3</v>
      </c>
      <c r="E186" s="36">
        <v>-6.0575788999999998E-2</v>
      </c>
      <c r="H186" s="35"/>
      <c r="I186" s="36"/>
      <c r="J186" s="35"/>
      <c r="K186" s="35"/>
    </row>
    <row r="187" spans="2:11" x14ac:dyDescent="0.25">
      <c r="B187" s="35">
        <v>49</v>
      </c>
      <c r="C187" s="123">
        <v>0</v>
      </c>
      <c r="D187" s="36">
        <v>-4.6250396000000003E-3</v>
      </c>
      <c r="E187" s="36">
        <v>-5.97657204E-2</v>
      </c>
      <c r="H187" s="35"/>
      <c r="I187" s="36"/>
      <c r="J187" s="35"/>
      <c r="K187" s="35"/>
    </row>
    <row r="188" spans="2:11" x14ac:dyDescent="0.25">
      <c r="B188" s="35">
        <v>49.25</v>
      </c>
      <c r="C188" s="123">
        <v>0</v>
      </c>
      <c r="D188" s="36">
        <v>-4.7778118000000001E-3</v>
      </c>
      <c r="E188" s="36">
        <v>-5.8915086499999998E-2</v>
      </c>
      <c r="H188" s="35"/>
      <c r="I188" s="36"/>
      <c r="J188" s="35"/>
      <c r="K188" s="35"/>
    </row>
    <row r="189" spans="2:11" x14ac:dyDescent="0.25">
      <c r="B189" s="35">
        <v>49.5</v>
      </c>
      <c r="C189" s="123">
        <v>0</v>
      </c>
      <c r="D189" s="36">
        <v>-4.9267347000000001E-3</v>
      </c>
      <c r="E189" s="36">
        <v>-5.8024505499999997E-2</v>
      </c>
      <c r="H189" s="35"/>
      <c r="I189" s="36"/>
      <c r="J189" s="35"/>
      <c r="K189" s="35"/>
    </row>
    <row r="190" spans="2:11" x14ac:dyDescent="0.25">
      <c r="B190" s="35">
        <v>49.75</v>
      </c>
      <c r="C190" s="123">
        <v>0</v>
      </c>
      <c r="D190" s="36">
        <v>-5.0721087000000003E-3</v>
      </c>
      <c r="E190" s="36">
        <v>-5.70946196E-2</v>
      </c>
      <c r="H190" s="35"/>
      <c r="I190" s="36"/>
      <c r="J190" s="35"/>
      <c r="K190" s="35"/>
    </row>
    <row r="191" spans="2:11" x14ac:dyDescent="0.25">
      <c r="B191" s="35">
        <v>50</v>
      </c>
      <c r="C191" s="123">
        <v>0</v>
      </c>
      <c r="D191" s="36">
        <v>-5.2142880999999997E-3</v>
      </c>
      <c r="E191" s="36">
        <v>-5.6126013099999997E-2</v>
      </c>
      <c r="H191" s="35"/>
      <c r="I191" s="36"/>
      <c r="J191" s="35"/>
      <c r="K191" s="35"/>
    </row>
    <row r="192" spans="2:11" x14ac:dyDescent="0.25">
      <c r="B192" s="35">
        <v>50.25</v>
      </c>
      <c r="C192" s="123">
        <v>0</v>
      </c>
      <c r="D192" s="36">
        <v>-5.3536566999999998E-3</v>
      </c>
      <c r="E192" s="36">
        <v>-5.51192405E-2</v>
      </c>
      <c r="H192" s="35"/>
      <c r="I192" s="36"/>
      <c r="J192" s="35"/>
      <c r="K192" s="35"/>
    </row>
    <row r="193" spans="2:11" x14ac:dyDescent="0.25">
      <c r="B193" s="35">
        <v>50.5</v>
      </c>
      <c r="C193" s="123">
        <v>0</v>
      </c>
      <c r="D193" s="36">
        <v>-5.4905350000000004E-3</v>
      </c>
      <c r="E193" s="36">
        <v>-5.40749492E-2</v>
      </c>
      <c r="H193" s="35"/>
      <c r="I193" s="36"/>
      <c r="J193" s="35"/>
      <c r="K193" s="35"/>
    </row>
    <row r="194" spans="2:11" x14ac:dyDescent="0.25">
      <c r="B194" s="35">
        <v>50.75</v>
      </c>
      <c r="C194" s="123">
        <v>0</v>
      </c>
      <c r="D194" s="36">
        <v>-5.6252554999999997E-3</v>
      </c>
      <c r="E194" s="36">
        <v>-5.2993792999999997E-2</v>
      </c>
      <c r="H194" s="35"/>
      <c r="I194" s="36"/>
      <c r="J194" s="35"/>
      <c r="K194" s="35"/>
    </row>
    <row r="195" spans="2:11" x14ac:dyDescent="0.25">
      <c r="B195" s="35">
        <v>51</v>
      </c>
      <c r="C195" s="123">
        <v>0</v>
      </c>
      <c r="D195" s="36">
        <v>-5.7581971999999997E-3</v>
      </c>
      <c r="E195" s="36">
        <v>-5.1876422899999997E-2</v>
      </c>
      <c r="H195" s="35"/>
      <c r="I195" s="36"/>
      <c r="J195" s="35"/>
      <c r="K195" s="35"/>
    </row>
    <row r="196" spans="2:11" x14ac:dyDescent="0.25">
      <c r="B196" s="35">
        <v>51.25</v>
      </c>
      <c r="C196" s="123">
        <v>0</v>
      </c>
      <c r="D196" s="36">
        <v>-5.8897283999999996E-3</v>
      </c>
      <c r="E196" s="36">
        <v>-5.0723475800000001E-2</v>
      </c>
      <c r="H196" s="35"/>
      <c r="I196" s="36"/>
      <c r="J196" s="35"/>
      <c r="K196" s="35"/>
    </row>
    <row r="197" spans="2:11" x14ac:dyDescent="0.25">
      <c r="B197" s="35">
        <v>51.5</v>
      </c>
      <c r="C197" s="123">
        <v>0</v>
      </c>
      <c r="D197" s="36">
        <v>-6.0200605000000004E-3</v>
      </c>
      <c r="E197" s="36">
        <v>-4.9535534999999999E-2</v>
      </c>
      <c r="H197" s="35"/>
      <c r="I197" s="36"/>
      <c r="J197" s="35"/>
      <c r="K197" s="35"/>
    </row>
    <row r="198" spans="2:11" x14ac:dyDescent="0.25">
      <c r="B198" s="35">
        <v>51.75</v>
      </c>
      <c r="C198" s="123">
        <v>0</v>
      </c>
      <c r="D198" s="36">
        <v>-6.1493952000000003E-3</v>
      </c>
      <c r="E198" s="36">
        <v>-4.83131792E-2</v>
      </c>
      <c r="H198" s="35"/>
      <c r="I198" s="36"/>
      <c r="J198" s="35"/>
      <c r="K198" s="35"/>
    </row>
    <row r="199" spans="2:11" x14ac:dyDescent="0.25">
      <c r="B199" s="35">
        <v>52</v>
      </c>
      <c r="C199" s="123">
        <v>0</v>
      </c>
      <c r="D199" s="36">
        <v>-6.2779478000000001E-3</v>
      </c>
      <c r="E199" s="36">
        <v>-4.7056992399999997E-2</v>
      </c>
      <c r="H199" s="35"/>
      <c r="I199" s="36"/>
      <c r="J199" s="35"/>
      <c r="K199" s="35"/>
    </row>
    <row r="200" spans="2:11" x14ac:dyDescent="0.25">
      <c r="B200" s="35">
        <v>52.25</v>
      </c>
      <c r="C200" s="123">
        <v>0</v>
      </c>
      <c r="D200" s="36">
        <v>-6.4059286999999998E-3</v>
      </c>
      <c r="E200" s="36">
        <v>-4.5767576599999998E-2</v>
      </c>
      <c r="H200" s="35"/>
      <c r="I200" s="36"/>
      <c r="J200" s="35"/>
      <c r="K200" s="35"/>
    </row>
    <row r="201" spans="2:11" x14ac:dyDescent="0.25">
      <c r="B201" s="35">
        <v>52.5</v>
      </c>
      <c r="C201" s="123">
        <v>0</v>
      </c>
      <c r="D201" s="36">
        <v>-6.5334256999999996E-3</v>
      </c>
      <c r="E201" s="36">
        <v>-4.4445561000000001E-2</v>
      </c>
      <c r="H201" s="35"/>
      <c r="I201" s="36"/>
      <c r="J201" s="35"/>
      <c r="K201" s="35"/>
    </row>
    <row r="202" spans="2:11" x14ac:dyDescent="0.25">
      <c r="B202" s="35">
        <v>52.75</v>
      </c>
      <c r="C202" s="123">
        <v>0</v>
      </c>
      <c r="D202" s="36">
        <v>-6.6605498000000003E-3</v>
      </c>
      <c r="E202" s="36">
        <v>-4.30915584E-2</v>
      </c>
      <c r="H202" s="35"/>
      <c r="I202" s="36"/>
      <c r="J202" s="35"/>
      <c r="K202" s="35"/>
    </row>
    <row r="203" spans="2:11" x14ac:dyDescent="0.25">
      <c r="B203" s="35">
        <v>53</v>
      </c>
      <c r="C203" s="123">
        <v>0</v>
      </c>
      <c r="D203" s="36">
        <v>-6.7874414000000001E-3</v>
      </c>
      <c r="E203" s="36">
        <v>-4.1706169600000002E-2</v>
      </c>
      <c r="H203" s="35"/>
      <c r="I203" s="36"/>
      <c r="J203" s="35"/>
      <c r="K203" s="35"/>
    </row>
    <row r="204" spans="2:11" x14ac:dyDescent="0.25">
      <c r="B204" s="35">
        <v>53.25</v>
      </c>
      <c r="C204" s="123">
        <v>0</v>
      </c>
      <c r="D204" s="36">
        <v>-6.9142046000000004E-3</v>
      </c>
      <c r="E204" s="36">
        <v>-4.0289945600000002E-2</v>
      </c>
      <c r="H204" s="35"/>
      <c r="I204" s="36"/>
      <c r="J204" s="35"/>
      <c r="K204" s="35"/>
    </row>
    <row r="205" spans="2:11" x14ac:dyDescent="0.25">
      <c r="B205" s="35">
        <v>53.5</v>
      </c>
      <c r="C205" s="123">
        <v>0</v>
      </c>
      <c r="D205" s="36">
        <v>-7.0407880999999997E-3</v>
      </c>
      <c r="E205" s="36">
        <v>-3.88433766E-2</v>
      </c>
      <c r="H205" s="35"/>
      <c r="I205" s="36"/>
      <c r="J205" s="35"/>
      <c r="K205" s="35"/>
    </row>
    <row r="206" spans="2:11" x14ac:dyDescent="0.25">
      <c r="B206" s="35">
        <v>53.75</v>
      </c>
      <c r="C206" s="123">
        <v>0</v>
      </c>
      <c r="D206" s="36">
        <v>-7.1671503000000003E-3</v>
      </c>
      <c r="E206" s="36">
        <v>-3.7366947900000003E-2</v>
      </c>
      <c r="H206" s="35"/>
      <c r="I206" s="36"/>
      <c r="J206" s="35"/>
      <c r="K206" s="35"/>
    </row>
    <row r="207" spans="2:11" x14ac:dyDescent="0.25">
      <c r="B207" s="35">
        <v>54</v>
      </c>
      <c r="C207" s="123">
        <v>0</v>
      </c>
      <c r="D207" s="36">
        <v>-7.2933095999999998E-3</v>
      </c>
      <c r="E207" s="36">
        <v>-3.5861122799999999E-2</v>
      </c>
      <c r="H207" s="35"/>
      <c r="I207" s="36"/>
      <c r="J207" s="35"/>
      <c r="K207" s="35"/>
    </row>
    <row r="208" spans="2:11" x14ac:dyDescent="0.25">
      <c r="B208" s="35">
        <v>54.25</v>
      </c>
      <c r="C208" s="123">
        <v>0</v>
      </c>
      <c r="D208" s="36">
        <v>-7.4193067000000003E-3</v>
      </c>
      <c r="E208" s="36">
        <v>-3.4326369799999999E-2</v>
      </c>
      <c r="H208" s="35"/>
      <c r="I208" s="36"/>
      <c r="J208" s="35"/>
      <c r="K208" s="35"/>
    </row>
    <row r="209" spans="2:11" x14ac:dyDescent="0.25">
      <c r="B209" s="35">
        <v>54.5</v>
      </c>
      <c r="C209" s="123">
        <v>0</v>
      </c>
      <c r="D209" s="36">
        <v>-7.5450810000000004E-3</v>
      </c>
      <c r="E209" s="36">
        <v>-3.2763179699999999E-2</v>
      </c>
      <c r="H209" s="35"/>
      <c r="I209" s="36"/>
      <c r="J209" s="35"/>
      <c r="K209" s="35"/>
    </row>
    <row r="210" spans="2:11" x14ac:dyDescent="0.25">
      <c r="B210" s="35">
        <v>54.75</v>
      </c>
      <c r="C210" s="123">
        <v>0</v>
      </c>
      <c r="D210" s="36">
        <v>-7.6705823999999997E-3</v>
      </c>
      <c r="E210" s="36">
        <v>-3.1172078700000001E-2</v>
      </c>
      <c r="H210" s="35"/>
      <c r="I210" s="36"/>
      <c r="J210" s="35"/>
      <c r="K210" s="35"/>
    </row>
    <row r="211" spans="2:11" x14ac:dyDescent="0.25">
      <c r="B211" s="35">
        <v>55</v>
      </c>
      <c r="C211" s="123">
        <v>0</v>
      </c>
      <c r="D211" s="36">
        <v>-7.7957957999999997E-3</v>
      </c>
      <c r="E211" s="36">
        <v>-2.95535954E-2</v>
      </c>
      <c r="H211" s="35"/>
      <c r="I211" s="36"/>
      <c r="J211" s="35"/>
      <c r="K211" s="35"/>
    </row>
    <row r="212" spans="2:11" x14ac:dyDescent="0.25">
      <c r="B212" s="35">
        <v>55.25</v>
      </c>
      <c r="C212" s="123">
        <v>0</v>
      </c>
      <c r="D212" s="36">
        <v>-7.9207076999999997E-3</v>
      </c>
      <c r="E212" s="36">
        <v>-2.7908216199999999E-2</v>
      </c>
      <c r="H212" s="35"/>
      <c r="I212" s="36"/>
      <c r="J212" s="35"/>
      <c r="K212" s="35"/>
    </row>
    <row r="213" spans="2:11" x14ac:dyDescent="0.25">
      <c r="B213" s="35">
        <v>55.5</v>
      </c>
      <c r="C213" s="123">
        <v>0</v>
      </c>
      <c r="D213" s="36">
        <v>-8.0452765999999998E-3</v>
      </c>
      <c r="E213" s="36">
        <v>-2.6236415499999999E-2</v>
      </c>
      <c r="H213" s="35"/>
      <c r="I213" s="36"/>
      <c r="J213" s="35"/>
      <c r="K213" s="35"/>
    </row>
    <row r="214" spans="2:11" x14ac:dyDescent="0.25">
      <c r="B214" s="35">
        <v>55.75</v>
      </c>
      <c r="C214" s="123">
        <v>0</v>
      </c>
      <c r="D214" s="36">
        <v>-8.1694833000000005E-3</v>
      </c>
      <c r="E214" s="36">
        <v>-2.4538687600000001E-2</v>
      </c>
      <c r="H214" s="35"/>
      <c r="I214" s="36"/>
      <c r="J214" s="35"/>
      <c r="K214" s="35"/>
    </row>
    <row r="215" spans="2:11" x14ac:dyDescent="0.25">
      <c r="B215" s="35">
        <v>56</v>
      </c>
      <c r="C215" s="123">
        <v>0</v>
      </c>
      <c r="D215" s="36">
        <v>-8.2933603000000002E-3</v>
      </c>
      <c r="E215" s="36">
        <v>-2.2815539499999999E-2</v>
      </c>
      <c r="H215" s="35"/>
      <c r="I215" s="36"/>
      <c r="J215" s="35"/>
      <c r="K215" s="35"/>
    </row>
    <row r="216" spans="2:11" x14ac:dyDescent="0.25">
      <c r="B216" s="35">
        <v>56.25</v>
      </c>
      <c r="C216" s="123">
        <v>0</v>
      </c>
      <c r="D216" s="36">
        <v>-8.4169841999999998E-3</v>
      </c>
      <c r="E216" s="36">
        <v>-2.10674933E-2</v>
      </c>
      <c r="H216" s="35"/>
      <c r="I216" s="36"/>
      <c r="J216" s="35"/>
      <c r="K216" s="35"/>
    </row>
    <row r="217" spans="2:11" x14ac:dyDescent="0.25">
      <c r="B217" s="35">
        <v>56.5</v>
      </c>
      <c r="C217" s="123">
        <v>0</v>
      </c>
      <c r="D217" s="36">
        <v>-8.5404139E-3</v>
      </c>
      <c r="E217" s="36">
        <v>-1.9295078699999999E-2</v>
      </c>
      <c r="H217" s="35"/>
      <c r="I217" s="36"/>
      <c r="J217" s="35"/>
      <c r="K217" s="35"/>
    </row>
    <row r="218" spans="2:11" x14ac:dyDescent="0.25">
      <c r="B218" s="35">
        <v>56.75</v>
      </c>
      <c r="C218" s="123">
        <v>0</v>
      </c>
      <c r="D218" s="36">
        <v>-8.663736E-3</v>
      </c>
      <c r="E218" s="36">
        <v>-1.7498821899999999E-2</v>
      </c>
      <c r="H218" s="35"/>
      <c r="I218" s="36"/>
      <c r="J218" s="35"/>
      <c r="K218" s="35"/>
    </row>
    <row r="219" spans="2:11" x14ac:dyDescent="0.25">
      <c r="B219" s="35">
        <v>57</v>
      </c>
      <c r="C219" s="123">
        <v>0</v>
      </c>
      <c r="D219" s="36">
        <v>-8.7870940000000005E-3</v>
      </c>
      <c r="E219" s="36">
        <v>-1.56792535E-2</v>
      </c>
      <c r="H219" s="35"/>
      <c r="I219" s="36"/>
      <c r="J219" s="35"/>
      <c r="K219" s="35"/>
    </row>
    <row r="220" spans="2:11" x14ac:dyDescent="0.25">
      <c r="B220" s="35">
        <v>57.25</v>
      </c>
      <c r="C220" s="123">
        <v>0</v>
      </c>
      <c r="D220" s="36">
        <v>-8.9106462000000004E-3</v>
      </c>
      <c r="E220" s="36">
        <v>-1.3836891699999999E-2</v>
      </c>
      <c r="H220" s="35"/>
      <c r="I220" s="36"/>
      <c r="J220" s="35"/>
      <c r="K220" s="35"/>
    </row>
    <row r="221" spans="2:11" x14ac:dyDescent="0.25">
      <c r="B221" s="35">
        <v>57.5</v>
      </c>
      <c r="C221" s="123">
        <v>0</v>
      </c>
      <c r="D221" s="36">
        <v>-9.0344860999999992E-3</v>
      </c>
      <c r="E221" s="36">
        <v>-1.19722426E-2</v>
      </c>
      <c r="H221" s="35"/>
      <c r="I221" s="36"/>
      <c r="J221" s="35"/>
      <c r="K221" s="35"/>
    </row>
    <row r="222" spans="2:11" x14ac:dyDescent="0.25">
      <c r="B222" s="35">
        <v>57.75</v>
      </c>
      <c r="C222" s="123">
        <v>0</v>
      </c>
      <c r="D222" s="36">
        <v>-9.1587114000000001E-3</v>
      </c>
      <c r="E222" s="36">
        <v>-1.0085813399999999E-2</v>
      </c>
      <c r="H222" s="35"/>
      <c r="I222" s="36"/>
      <c r="J222" s="35"/>
      <c r="K222" s="35"/>
    </row>
    <row r="223" spans="2:11" x14ac:dyDescent="0.25">
      <c r="B223" s="35">
        <v>58</v>
      </c>
      <c r="C223" s="123">
        <v>0</v>
      </c>
      <c r="D223" s="36">
        <v>-9.2834423999999995E-3</v>
      </c>
      <c r="E223" s="36">
        <v>-8.1781239000000006E-3</v>
      </c>
      <c r="H223" s="35"/>
      <c r="I223" s="36"/>
      <c r="J223" s="35"/>
      <c r="K223" s="35"/>
    </row>
    <row r="224" spans="2:11" x14ac:dyDescent="0.25">
      <c r="B224" s="35">
        <v>58.25</v>
      </c>
      <c r="C224" s="123">
        <v>0</v>
      </c>
      <c r="D224" s="36">
        <v>-9.4088003000000007E-3</v>
      </c>
      <c r="E224" s="36">
        <v>-6.2497298000000001E-3</v>
      </c>
      <c r="H224" s="35"/>
      <c r="I224" s="36"/>
      <c r="J224" s="35"/>
      <c r="K224" s="35"/>
    </row>
    <row r="225" spans="2:11" x14ac:dyDescent="0.25">
      <c r="B225" s="35">
        <v>58.5</v>
      </c>
      <c r="C225" s="123">
        <v>0</v>
      </c>
      <c r="D225" s="36">
        <v>-9.5348645000000003E-3</v>
      </c>
      <c r="E225" s="36">
        <v>-4.3012594999999997E-3</v>
      </c>
      <c r="H225" s="35"/>
      <c r="I225" s="36"/>
      <c r="J225" s="35"/>
      <c r="K225" s="35"/>
    </row>
    <row r="226" spans="2:11" x14ac:dyDescent="0.25">
      <c r="B226" s="35">
        <v>58.75</v>
      </c>
      <c r="C226" s="123">
        <v>0</v>
      </c>
      <c r="D226" s="36">
        <v>-9.6617404000000004E-3</v>
      </c>
      <c r="E226" s="36">
        <v>-2.3333095000000002E-3</v>
      </c>
      <c r="H226" s="35"/>
      <c r="I226" s="36"/>
      <c r="J226" s="35"/>
      <c r="K226" s="35"/>
    </row>
    <row r="227" spans="2:11" x14ac:dyDescent="0.25">
      <c r="B227" s="35">
        <v>59</v>
      </c>
      <c r="C227" s="123">
        <v>0</v>
      </c>
      <c r="D227" s="36">
        <v>-9.7895662000000005E-3</v>
      </c>
      <c r="E227" s="36">
        <v>-3.464187E-4</v>
      </c>
      <c r="H227" s="35"/>
      <c r="I227" s="36"/>
      <c r="J227" s="35"/>
      <c r="K227" s="35"/>
    </row>
    <row r="228" spans="2:11" x14ac:dyDescent="0.25">
      <c r="B228" s="35">
        <v>59.25</v>
      </c>
      <c r="C228" s="123">
        <v>0</v>
      </c>
      <c r="D228" s="36">
        <v>-9.9185066999999995E-3</v>
      </c>
      <c r="E228" s="36">
        <v>1.6588784000000001E-3</v>
      </c>
      <c r="H228" s="35"/>
      <c r="I228" s="36"/>
      <c r="J228" s="35"/>
      <c r="K228" s="35"/>
    </row>
    <row r="229" spans="2:11" x14ac:dyDescent="0.25">
      <c r="B229" s="35">
        <v>59.5</v>
      </c>
      <c r="C229" s="123">
        <v>0</v>
      </c>
      <c r="D229" s="36">
        <v>-1.0048734300000001E-2</v>
      </c>
      <c r="E229" s="36">
        <v>3.6819652999999998E-3</v>
      </c>
      <c r="H229" s="35"/>
      <c r="I229" s="36"/>
      <c r="J229" s="35"/>
      <c r="K229" s="35"/>
    </row>
    <row r="230" spans="2:11" x14ac:dyDescent="0.25">
      <c r="B230" s="35">
        <v>59.75</v>
      </c>
      <c r="C230" s="123">
        <v>0</v>
      </c>
      <c r="D230" s="36">
        <v>-1.01804576E-2</v>
      </c>
      <c r="E230" s="36">
        <v>5.7222167999999999E-3</v>
      </c>
      <c r="H230" s="35"/>
      <c r="I230" s="36"/>
      <c r="J230" s="35"/>
      <c r="K230" s="35"/>
    </row>
    <row r="231" spans="2:11" x14ac:dyDescent="0.25">
      <c r="B231" s="35">
        <v>60</v>
      </c>
      <c r="C231" s="123">
        <v>0</v>
      </c>
      <c r="D231" s="36">
        <v>-1.03139218E-2</v>
      </c>
      <c r="E231" s="36">
        <v>7.7790152999999999E-3</v>
      </c>
      <c r="H231" s="35"/>
      <c r="I231" s="36"/>
      <c r="J231" s="35"/>
      <c r="K231" s="35"/>
    </row>
    <row r="232" spans="2:11" x14ac:dyDescent="0.25">
      <c r="B232" s="35">
        <v>60.25</v>
      </c>
      <c r="C232" s="123">
        <v>0</v>
      </c>
      <c r="D232" s="36">
        <v>-1.04493563E-2</v>
      </c>
      <c r="E232" s="36">
        <v>9.8517347999999994E-3</v>
      </c>
      <c r="H232" s="35"/>
      <c r="I232" s="36"/>
      <c r="J232" s="35"/>
      <c r="K232" s="35"/>
    </row>
    <row r="233" spans="2:11" x14ac:dyDescent="0.25">
      <c r="B233" s="35">
        <v>60.5</v>
      </c>
      <c r="C233" s="123">
        <v>0</v>
      </c>
      <c r="D233" s="36">
        <v>-1.05868495E-2</v>
      </c>
      <c r="E233" s="36">
        <v>1.19396876E-2</v>
      </c>
      <c r="H233" s="35"/>
      <c r="I233" s="36"/>
      <c r="J233" s="35"/>
      <c r="K233" s="35"/>
    </row>
    <row r="234" spans="2:11" x14ac:dyDescent="0.25">
      <c r="B234" s="35">
        <v>60.75</v>
      </c>
      <c r="C234" s="123">
        <v>0</v>
      </c>
      <c r="D234" s="36">
        <v>-1.07264769E-2</v>
      </c>
      <c r="E234" s="36">
        <v>1.40422065E-2</v>
      </c>
      <c r="H234" s="35"/>
      <c r="I234" s="36"/>
      <c r="J234" s="35"/>
      <c r="K234" s="35"/>
    </row>
    <row r="235" spans="2:11" x14ac:dyDescent="0.25">
      <c r="B235" s="35">
        <v>61</v>
      </c>
      <c r="C235" s="123">
        <v>0</v>
      </c>
      <c r="D235" s="36">
        <v>-1.08683318E-2</v>
      </c>
      <c r="E235" s="36">
        <v>1.6158668099999999E-2</v>
      </c>
      <c r="H235" s="35"/>
      <c r="I235" s="36"/>
      <c r="J235" s="35"/>
      <c r="K235" s="35"/>
    </row>
    <row r="236" spans="2:11" x14ac:dyDescent="0.25">
      <c r="B236" s="35">
        <v>61.25</v>
      </c>
      <c r="C236" s="123">
        <v>0</v>
      </c>
      <c r="D236" s="36">
        <v>-1.1012503599999999E-2</v>
      </c>
      <c r="E236" s="36">
        <v>1.8288516500000001E-2</v>
      </c>
      <c r="H236" s="35"/>
      <c r="I236" s="36"/>
      <c r="J236" s="35"/>
      <c r="K236" s="35"/>
    </row>
    <row r="237" spans="2:11" x14ac:dyDescent="0.25">
      <c r="B237" s="35">
        <v>61.5</v>
      </c>
      <c r="C237" s="123">
        <v>0</v>
      </c>
      <c r="D237" s="36">
        <v>-1.11590414E-2</v>
      </c>
      <c r="E237" s="36">
        <v>2.0431324599999998E-2</v>
      </c>
      <c r="H237" s="35"/>
      <c r="I237" s="36"/>
      <c r="J237" s="35"/>
      <c r="K237" s="35"/>
    </row>
    <row r="238" spans="2:11" x14ac:dyDescent="0.25">
      <c r="B238" s="35">
        <v>61.75</v>
      </c>
      <c r="C238" s="123">
        <v>0</v>
      </c>
      <c r="D238" s="36">
        <v>-1.13080156E-2</v>
      </c>
      <c r="E238" s="36">
        <v>2.2586699599999999E-2</v>
      </c>
      <c r="H238" s="35"/>
      <c r="I238" s="36"/>
      <c r="J238" s="35"/>
      <c r="K238" s="35"/>
    </row>
    <row r="239" spans="2:11" x14ac:dyDescent="0.25">
      <c r="B239" s="35">
        <v>62</v>
      </c>
      <c r="C239" s="123">
        <v>0</v>
      </c>
      <c r="D239" s="36">
        <v>-1.14595292E-2</v>
      </c>
      <c r="E239" s="36">
        <v>2.47542553E-2</v>
      </c>
      <c r="H239" s="35"/>
      <c r="I239" s="36"/>
      <c r="J239" s="35"/>
      <c r="K239" s="35"/>
    </row>
    <row r="240" spans="2:11" x14ac:dyDescent="0.25">
      <c r="B240" s="35">
        <v>62.25</v>
      </c>
      <c r="C240" s="123">
        <v>0</v>
      </c>
      <c r="D240" s="36">
        <v>-1.16136795E-2</v>
      </c>
      <c r="E240" s="36">
        <v>2.6933607200000001E-2</v>
      </c>
      <c r="H240" s="35"/>
      <c r="I240" s="36"/>
      <c r="J240" s="35"/>
      <c r="K240" s="35"/>
    </row>
    <row r="241" spans="2:11" x14ac:dyDescent="0.25">
      <c r="B241" s="35">
        <v>62.5</v>
      </c>
      <c r="C241" s="123">
        <v>0</v>
      </c>
      <c r="D241" s="36">
        <v>-1.1770445799999999E-2</v>
      </c>
      <c r="E241" s="36">
        <v>2.9124383899999998E-2</v>
      </c>
      <c r="H241" s="35"/>
      <c r="I241" s="36"/>
      <c r="J241" s="35"/>
      <c r="K241" s="35"/>
    </row>
    <row r="242" spans="2:11" x14ac:dyDescent="0.25">
      <c r="B242" s="35">
        <v>62.75</v>
      </c>
      <c r="C242" s="123">
        <v>0</v>
      </c>
      <c r="D242" s="36">
        <v>-1.19297837E-2</v>
      </c>
      <c r="E242" s="36">
        <v>3.1326221600000002E-2</v>
      </c>
      <c r="H242" s="35"/>
      <c r="I242" s="36"/>
      <c r="J242" s="35"/>
      <c r="K242" s="35"/>
    </row>
    <row r="243" spans="2:11" x14ac:dyDescent="0.25">
      <c r="B243" s="35">
        <v>63</v>
      </c>
      <c r="C243" s="123">
        <v>0</v>
      </c>
      <c r="D243" s="36">
        <v>-1.2091645599999999E-2</v>
      </c>
      <c r="E243" s="36">
        <v>3.35387636E-2</v>
      </c>
      <c r="H243" s="35"/>
      <c r="I243" s="36"/>
      <c r="J243" s="35"/>
      <c r="K243" s="35"/>
    </row>
    <row r="244" spans="2:11" x14ac:dyDescent="0.25">
      <c r="B244" s="35">
        <v>63.25</v>
      </c>
      <c r="C244" s="123">
        <v>0</v>
      </c>
      <c r="D244" s="36">
        <v>-1.22559739E-2</v>
      </c>
      <c r="E244" s="36">
        <v>3.5761678800000002E-2</v>
      </c>
      <c r="H244" s="35"/>
      <c r="I244" s="36"/>
      <c r="J244" s="35"/>
      <c r="K244" s="35"/>
    </row>
    <row r="245" spans="2:11" x14ac:dyDescent="0.25">
      <c r="B245" s="35">
        <v>63.5</v>
      </c>
      <c r="C245" s="123">
        <v>0</v>
      </c>
      <c r="D245" s="36">
        <v>-1.2422636900000001E-2</v>
      </c>
      <c r="E245" s="36">
        <v>3.7994731599999998E-2</v>
      </c>
      <c r="H245" s="35"/>
      <c r="I245" s="36"/>
      <c r="J245" s="35"/>
      <c r="K245" s="35"/>
    </row>
    <row r="246" spans="2:11" x14ac:dyDescent="0.25">
      <c r="B246" s="35">
        <v>63.75</v>
      </c>
      <c r="C246" s="123">
        <v>0</v>
      </c>
      <c r="D246" s="36">
        <v>-1.2591494E-2</v>
      </c>
      <c r="E246" s="36">
        <v>4.0237711699999998E-2</v>
      </c>
      <c r="H246" s="35"/>
      <c r="I246" s="36"/>
      <c r="J246" s="35"/>
      <c r="K246" s="35"/>
    </row>
    <row r="247" spans="2:11" x14ac:dyDescent="0.25">
      <c r="B247" s="35">
        <v>64</v>
      </c>
      <c r="C247" s="123">
        <v>0</v>
      </c>
      <c r="D247" s="36">
        <v>-1.27624347E-2</v>
      </c>
      <c r="E247" s="36">
        <v>4.2490401999999997E-2</v>
      </c>
      <c r="H247" s="35"/>
      <c r="I247" s="36"/>
      <c r="J247" s="35"/>
      <c r="K247" s="35"/>
    </row>
    <row r="248" spans="2:11" x14ac:dyDescent="0.25">
      <c r="B248" s="35">
        <v>64.25</v>
      </c>
      <c r="C248" s="123">
        <v>0</v>
      </c>
      <c r="D248" s="36">
        <v>-1.29353712E-2</v>
      </c>
      <c r="E248" s="36">
        <v>4.4752569399999997E-2</v>
      </c>
      <c r="H248" s="35"/>
      <c r="I248" s="36"/>
      <c r="J248" s="35"/>
      <c r="K248" s="35"/>
    </row>
    <row r="249" spans="2:11" x14ac:dyDescent="0.25">
      <c r="B249" s="35">
        <v>64.5</v>
      </c>
      <c r="C249" s="123">
        <v>0</v>
      </c>
      <c r="D249" s="36">
        <v>-1.3110222600000001E-2</v>
      </c>
      <c r="E249" s="36">
        <v>4.7023932400000003E-2</v>
      </c>
      <c r="H249" s="35"/>
      <c r="I249" s="36"/>
      <c r="J249" s="35"/>
      <c r="K249" s="35"/>
    </row>
    <row r="250" spans="2:11" x14ac:dyDescent="0.25">
      <c r="B250" s="35">
        <v>64.75</v>
      </c>
      <c r="C250" s="123">
        <v>0</v>
      </c>
      <c r="D250" s="36">
        <v>-1.3286922499999999E-2</v>
      </c>
      <c r="E250" s="36">
        <v>4.9304217499999997E-2</v>
      </c>
      <c r="H250" s="35"/>
      <c r="I250" s="36"/>
      <c r="J250" s="35"/>
      <c r="K250" s="35"/>
    </row>
    <row r="251" spans="2:11" x14ac:dyDescent="0.25">
      <c r="B251" s="35">
        <v>65</v>
      </c>
      <c r="C251" s="123">
        <v>0</v>
      </c>
      <c r="D251" s="36">
        <v>-1.34654283E-2</v>
      </c>
      <c r="E251" s="36">
        <v>5.15931668E-2</v>
      </c>
      <c r="H251" s="35"/>
      <c r="I251" s="36"/>
      <c r="J251" s="35"/>
      <c r="K251" s="35"/>
    </row>
    <row r="252" spans="2:11" x14ac:dyDescent="0.25">
      <c r="B252" s="35">
        <v>65.25</v>
      </c>
      <c r="C252" s="123">
        <v>0</v>
      </c>
      <c r="D252" s="36">
        <v>-1.36457065E-2</v>
      </c>
      <c r="E252" s="36">
        <v>5.3890499799999998E-2</v>
      </c>
      <c r="H252" s="35"/>
      <c r="I252" s="36"/>
      <c r="J252" s="35"/>
      <c r="K252" s="35"/>
    </row>
    <row r="253" spans="2:11" x14ac:dyDescent="0.25">
      <c r="B253" s="35">
        <v>65.5</v>
      </c>
      <c r="C253" s="123">
        <v>0</v>
      </c>
      <c r="D253" s="36">
        <v>-1.38276882E-2</v>
      </c>
      <c r="E253" s="36">
        <v>5.6195869099999997E-2</v>
      </c>
      <c r="H253" s="35"/>
      <c r="I253" s="36"/>
      <c r="J253" s="35"/>
      <c r="K253" s="35"/>
    </row>
    <row r="254" spans="2:11" x14ac:dyDescent="0.25">
      <c r="B254" s="35">
        <v>65.75</v>
      </c>
      <c r="C254" s="123">
        <v>0</v>
      </c>
      <c r="D254" s="36">
        <v>-1.40112994E-2</v>
      </c>
      <c r="E254" s="36">
        <v>5.8508928500000001E-2</v>
      </c>
      <c r="H254" s="35"/>
      <c r="I254" s="36"/>
      <c r="J254" s="35"/>
      <c r="K254" s="35"/>
    </row>
    <row r="255" spans="2:11" x14ac:dyDescent="0.25">
      <c r="B255" s="35">
        <v>66</v>
      </c>
      <c r="C255" s="123">
        <v>0</v>
      </c>
      <c r="D255" s="36">
        <v>-1.4196479099999999E-2</v>
      </c>
      <c r="E255" s="36">
        <v>6.0829371600000001E-2</v>
      </c>
      <c r="H255" s="35"/>
      <c r="I255" s="36"/>
      <c r="J255" s="35"/>
      <c r="K255" s="35"/>
    </row>
    <row r="256" spans="2:11" x14ac:dyDescent="0.25">
      <c r="B256" s="35">
        <v>66.25</v>
      </c>
      <c r="C256" s="123">
        <v>0</v>
      </c>
      <c r="D256" s="36">
        <v>-1.4383164E-2</v>
      </c>
      <c r="E256" s="36">
        <v>6.3156911199999999E-2</v>
      </c>
      <c r="H256" s="35"/>
      <c r="I256" s="36"/>
      <c r="J256" s="35"/>
      <c r="K256" s="35"/>
    </row>
    <row r="257" spans="2:11" x14ac:dyDescent="0.25">
      <c r="B257" s="35">
        <v>66.5</v>
      </c>
      <c r="C257" s="123">
        <v>0</v>
      </c>
      <c r="D257" s="36">
        <v>-1.4571241699999999E-2</v>
      </c>
      <c r="E257" s="36">
        <v>6.5491226400000005E-2</v>
      </c>
      <c r="H257" s="35"/>
      <c r="I257" s="36"/>
      <c r="J257" s="35"/>
      <c r="K257" s="35"/>
    </row>
    <row r="258" spans="2:11" x14ac:dyDescent="0.25">
      <c r="B258" s="35">
        <v>66.75</v>
      </c>
      <c r="C258" s="123">
        <v>0</v>
      </c>
      <c r="D258" s="36">
        <v>-1.4760599100000001E-2</v>
      </c>
      <c r="E258" s="36">
        <v>6.7831986499999997E-2</v>
      </c>
      <c r="H258" s="35"/>
      <c r="I258" s="36"/>
      <c r="J258" s="35"/>
      <c r="K258" s="35"/>
    </row>
    <row r="259" spans="2:11" x14ac:dyDescent="0.25">
      <c r="B259" s="35">
        <v>67</v>
      </c>
      <c r="C259" s="123">
        <v>0</v>
      </c>
      <c r="D259" s="36">
        <v>-1.4951139699999999E-2</v>
      </c>
      <c r="E259" s="36">
        <v>7.01788562E-2</v>
      </c>
      <c r="H259" s="35"/>
      <c r="I259" s="36"/>
      <c r="J259" s="35"/>
      <c r="K259" s="35"/>
    </row>
    <row r="260" spans="2:11" x14ac:dyDescent="0.25">
      <c r="B260" s="35">
        <v>67.25</v>
      </c>
      <c r="C260" s="123">
        <v>0</v>
      </c>
      <c r="D260" s="36">
        <v>-1.5142765900000001E-2</v>
      </c>
      <c r="E260" s="36">
        <v>7.2531501900000003E-2</v>
      </c>
      <c r="H260" s="35"/>
      <c r="I260" s="36"/>
      <c r="J260" s="35"/>
      <c r="K260" s="35"/>
    </row>
    <row r="261" spans="2:11" x14ac:dyDescent="0.25">
      <c r="B261" s="35">
        <v>67.5</v>
      </c>
      <c r="C261" s="123">
        <v>0</v>
      </c>
      <c r="D261" s="36">
        <v>-1.53353303E-2</v>
      </c>
      <c r="E261" s="36">
        <v>7.4889607100000005E-2</v>
      </c>
      <c r="H261" s="35"/>
      <c r="I261" s="36"/>
      <c r="J261" s="35"/>
      <c r="K261" s="35"/>
    </row>
    <row r="262" spans="2:11" x14ac:dyDescent="0.25">
      <c r="B262" s="35">
        <v>67.75</v>
      </c>
      <c r="C262" s="123">
        <v>0</v>
      </c>
      <c r="D262" s="36">
        <v>-1.5528685400000001E-2</v>
      </c>
      <c r="E262" s="36">
        <v>7.7252856699999997E-2</v>
      </c>
      <c r="H262" s="35"/>
      <c r="I262" s="36"/>
      <c r="J262" s="35"/>
      <c r="K262" s="35"/>
    </row>
    <row r="263" spans="2:11" x14ac:dyDescent="0.25">
      <c r="B263" s="35">
        <v>68</v>
      </c>
      <c r="C263" s="123">
        <v>0</v>
      </c>
      <c r="D263" s="36">
        <v>-1.5722697399999999E-2</v>
      </c>
      <c r="E263" s="36">
        <v>7.9620932300000002E-2</v>
      </c>
      <c r="H263" s="35"/>
      <c r="I263" s="36"/>
      <c r="J263" s="35"/>
      <c r="K263" s="35"/>
    </row>
    <row r="264" spans="2:11" x14ac:dyDescent="0.25">
      <c r="B264" s="35">
        <v>68.25</v>
      </c>
      <c r="C264" s="123">
        <v>0</v>
      </c>
      <c r="D264" s="36">
        <v>-1.59172429E-2</v>
      </c>
      <c r="E264" s="36">
        <v>8.19935091E-2</v>
      </c>
      <c r="H264" s="35"/>
      <c r="I264" s="36"/>
      <c r="J264" s="35"/>
      <c r="K264" s="35"/>
    </row>
    <row r="265" spans="2:11" x14ac:dyDescent="0.25">
      <c r="B265" s="35">
        <v>68.5</v>
      </c>
      <c r="C265" s="123">
        <v>0</v>
      </c>
      <c r="D265" s="36">
        <v>-1.61121857E-2</v>
      </c>
      <c r="E265" s="36">
        <v>8.4370200000000006E-2</v>
      </c>
      <c r="H265" s="35"/>
      <c r="I265" s="36"/>
      <c r="J265" s="35"/>
      <c r="K265" s="35"/>
    </row>
    <row r="266" spans="2:11" x14ac:dyDescent="0.25">
      <c r="B266" s="35">
        <v>68.75</v>
      </c>
      <c r="C266" s="123">
        <v>0</v>
      </c>
      <c r="D266" s="36">
        <v>-1.6307401700000002E-2</v>
      </c>
      <c r="E266" s="36">
        <v>8.6750611699999994E-2</v>
      </c>
      <c r="H266" s="35"/>
      <c r="I266" s="36"/>
      <c r="J266" s="35"/>
      <c r="K266" s="35"/>
    </row>
    <row r="267" spans="2:11" x14ac:dyDescent="0.25">
      <c r="B267" s="35">
        <v>69</v>
      </c>
      <c r="C267" s="123">
        <v>0</v>
      </c>
      <c r="D267" s="36">
        <v>-1.6502781899999999E-2</v>
      </c>
      <c r="E267" s="36">
        <v>8.9134366699999995E-2</v>
      </c>
      <c r="H267" s="35"/>
      <c r="I267" s="36"/>
      <c r="J267" s="35"/>
      <c r="K267" s="35"/>
    </row>
    <row r="268" spans="2:11" x14ac:dyDescent="0.25">
      <c r="B268" s="35">
        <v>69.25</v>
      </c>
      <c r="C268" s="123">
        <v>0</v>
      </c>
      <c r="D268" s="36">
        <v>-1.66982351E-2</v>
      </c>
      <c r="E268" s="36">
        <v>9.1521075699999996E-2</v>
      </c>
      <c r="H268" s="35"/>
      <c r="I268" s="36"/>
      <c r="J268" s="35"/>
      <c r="K268" s="35"/>
    </row>
    <row r="269" spans="2:11" x14ac:dyDescent="0.25">
      <c r="B269" s="35">
        <v>69.5</v>
      </c>
      <c r="C269" s="123">
        <v>0</v>
      </c>
      <c r="D269" s="36">
        <v>-1.6893695600000001E-2</v>
      </c>
      <c r="E269" s="36">
        <v>9.3910295500000004E-2</v>
      </c>
      <c r="H269" s="35"/>
      <c r="I269" s="36"/>
      <c r="J269" s="35"/>
      <c r="K269" s="35"/>
    </row>
    <row r="270" spans="2:11" x14ac:dyDescent="0.25">
      <c r="B270" s="35">
        <v>69.75</v>
      </c>
      <c r="C270" s="123">
        <v>0</v>
      </c>
      <c r="D270" s="36">
        <v>-1.7089113100000001E-2</v>
      </c>
      <c r="E270" s="36">
        <v>9.6301575400000006E-2</v>
      </c>
      <c r="H270" s="35"/>
      <c r="I270" s="36"/>
      <c r="J270" s="35"/>
      <c r="K270" s="35"/>
    </row>
    <row r="271" spans="2:11" x14ac:dyDescent="0.25">
      <c r="B271" s="35">
        <v>70</v>
      </c>
      <c r="C271" s="123">
        <v>0</v>
      </c>
      <c r="D271" s="36">
        <v>-1.7284442600000002E-2</v>
      </c>
      <c r="E271" s="36">
        <v>9.86944711E-2</v>
      </c>
      <c r="H271" s="35"/>
      <c r="I271" s="36"/>
      <c r="J271" s="35"/>
      <c r="K271" s="35"/>
    </row>
    <row r="272" spans="2:11" x14ac:dyDescent="0.25">
      <c r="B272" s="35">
        <v>70.25</v>
      </c>
      <c r="C272" s="123">
        <v>0</v>
      </c>
      <c r="D272" s="36">
        <v>-1.7479638499999998E-2</v>
      </c>
      <c r="E272" s="36">
        <v>0.101088542</v>
      </c>
      <c r="H272" s="35"/>
      <c r="I272" s="36"/>
      <c r="J272" s="35"/>
      <c r="K272" s="35"/>
    </row>
    <row r="273" spans="2:11" x14ac:dyDescent="0.25">
      <c r="B273" s="35">
        <v>70.5</v>
      </c>
      <c r="C273" s="123">
        <v>0</v>
      </c>
      <c r="D273" s="36">
        <v>-1.76746479E-2</v>
      </c>
      <c r="E273" s="36">
        <v>0.1034833391</v>
      </c>
      <c r="H273" s="35"/>
      <c r="I273" s="36"/>
      <c r="J273" s="35"/>
      <c r="K273" s="35"/>
    </row>
    <row r="274" spans="2:11" x14ac:dyDescent="0.25">
      <c r="B274" s="35">
        <v>70.75</v>
      </c>
      <c r="C274" s="123">
        <v>0</v>
      </c>
      <c r="D274" s="36">
        <v>-1.7869421699999999E-2</v>
      </c>
      <c r="E274" s="36">
        <v>0.1058784134</v>
      </c>
      <c r="H274" s="35"/>
      <c r="I274" s="36"/>
      <c r="J274" s="35"/>
      <c r="K274" s="35"/>
    </row>
    <row r="275" spans="2:11" x14ac:dyDescent="0.25">
      <c r="B275" s="35">
        <v>71</v>
      </c>
      <c r="C275" s="123">
        <v>0</v>
      </c>
      <c r="D275" s="36">
        <v>-1.8063917299999999E-2</v>
      </c>
      <c r="E275" s="36">
        <v>0.1082733255</v>
      </c>
      <c r="H275" s="35"/>
      <c r="I275" s="36"/>
      <c r="J275" s="35"/>
      <c r="K275" s="35"/>
    </row>
    <row r="276" spans="2:11" x14ac:dyDescent="0.25">
      <c r="B276" s="35">
        <v>71.25</v>
      </c>
      <c r="C276" s="123">
        <v>0</v>
      </c>
      <c r="D276" s="36">
        <v>-1.8258097399999999E-2</v>
      </c>
      <c r="E276" s="36">
        <v>0.1106676549</v>
      </c>
      <c r="H276" s="35"/>
      <c r="I276" s="36"/>
      <c r="J276" s="35"/>
      <c r="K276" s="35"/>
    </row>
    <row r="277" spans="2:11" x14ac:dyDescent="0.25">
      <c r="B277" s="35">
        <v>71.5</v>
      </c>
      <c r="C277" s="123">
        <v>0</v>
      </c>
      <c r="D277" s="36">
        <v>-1.84519291E-2</v>
      </c>
      <c r="E277" s="36">
        <v>0.1130610095</v>
      </c>
      <c r="H277" s="35"/>
      <c r="I277" s="36"/>
      <c r="J277" s="35"/>
      <c r="K277" s="35"/>
    </row>
    <row r="278" spans="2:11" x14ac:dyDescent="0.25">
      <c r="B278" s="35">
        <v>71.75</v>
      </c>
      <c r="C278" s="123">
        <v>0</v>
      </c>
      <c r="D278" s="36">
        <v>-1.86453865E-2</v>
      </c>
      <c r="E278" s="36">
        <v>0.1154530089</v>
      </c>
      <c r="H278" s="35"/>
      <c r="I278" s="36"/>
      <c r="J278" s="35"/>
      <c r="K278" s="35"/>
    </row>
    <row r="279" spans="2:11" x14ac:dyDescent="0.25">
      <c r="B279" s="35">
        <v>72</v>
      </c>
      <c r="C279" s="123">
        <v>0</v>
      </c>
      <c r="D279" s="36">
        <v>-1.8838450699999999E-2</v>
      </c>
      <c r="E279" s="36">
        <v>0.1178432849</v>
      </c>
      <c r="H279" s="35"/>
      <c r="I279" s="36"/>
      <c r="J279" s="35"/>
      <c r="K279" s="35"/>
    </row>
    <row r="280" spans="2:11" x14ac:dyDescent="0.25">
      <c r="B280" s="35">
        <v>72.25</v>
      </c>
      <c r="C280" s="123">
        <v>0</v>
      </c>
      <c r="D280" s="36">
        <v>-1.9031103800000001E-2</v>
      </c>
      <c r="E280" s="36">
        <v>0.1202314872</v>
      </c>
      <c r="H280" s="35"/>
      <c r="I280" s="36"/>
      <c r="J280" s="35"/>
      <c r="K280" s="35"/>
    </row>
    <row r="281" spans="2:11" x14ac:dyDescent="0.25">
      <c r="B281" s="35">
        <v>72.5</v>
      </c>
      <c r="C281" s="123">
        <v>0</v>
      </c>
      <c r="D281" s="36">
        <v>-1.92233089E-2</v>
      </c>
      <c r="E281" s="36">
        <v>0.12261731219999999</v>
      </c>
      <c r="H281" s="35"/>
      <c r="I281" s="36"/>
      <c r="J281" s="35"/>
      <c r="K281" s="35"/>
    </row>
    <row r="282" spans="2:11" x14ac:dyDescent="0.25">
      <c r="B282" s="35">
        <v>72.75</v>
      </c>
      <c r="C282" s="123">
        <v>0</v>
      </c>
      <c r="D282" s="36">
        <v>-1.9415027200000001E-2</v>
      </c>
      <c r="E282" s="36">
        <v>0.125000472</v>
      </c>
      <c r="H282" s="35"/>
      <c r="I282" s="36"/>
      <c r="J282" s="35"/>
      <c r="K282" s="35"/>
    </row>
    <row r="283" spans="2:11" x14ac:dyDescent="0.25">
      <c r="B283" s="35">
        <v>73</v>
      </c>
      <c r="C283" s="123">
        <v>0</v>
      </c>
      <c r="D283" s="36">
        <v>-1.9606221E-2</v>
      </c>
      <c r="E283" s="36">
        <v>0.12738068280000001</v>
      </c>
      <c r="H283" s="35"/>
      <c r="I283" s="36"/>
      <c r="J283" s="35"/>
      <c r="K283" s="35"/>
    </row>
    <row r="284" spans="2:11" x14ac:dyDescent="0.25">
      <c r="B284" s="35">
        <v>73.25</v>
      </c>
      <c r="C284" s="123">
        <v>0</v>
      </c>
      <c r="D284" s="36">
        <v>-1.9796849799999999E-2</v>
      </c>
      <c r="E284" s="36">
        <v>0.12975767639999999</v>
      </c>
      <c r="H284" s="35"/>
      <c r="I284" s="36"/>
      <c r="J284" s="35"/>
      <c r="K284" s="35"/>
    </row>
    <row r="285" spans="2:11" x14ac:dyDescent="0.25">
      <c r="B285" s="35">
        <v>73.5</v>
      </c>
      <c r="C285" s="123">
        <v>0</v>
      </c>
      <c r="D285" s="36">
        <v>-1.9986869099999999E-2</v>
      </c>
      <c r="E285" s="36">
        <v>0.13213122860000001</v>
      </c>
      <c r="H285" s="35"/>
      <c r="I285" s="36"/>
      <c r="J285" s="35"/>
      <c r="K285" s="35"/>
    </row>
    <row r="286" spans="2:11" x14ac:dyDescent="0.25">
      <c r="B286" s="35">
        <v>73.75</v>
      </c>
      <c r="C286" s="123">
        <v>0</v>
      </c>
      <c r="D286" s="36">
        <v>-2.0176242399999999E-2</v>
      </c>
      <c r="E286" s="36">
        <v>0.13450114630000001</v>
      </c>
      <c r="H286" s="35"/>
      <c r="I286" s="36"/>
      <c r="J286" s="35"/>
      <c r="K286" s="35"/>
    </row>
    <row r="287" spans="2:11" x14ac:dyDescent="0.25">
      <c r="B287" s="35">
        <v>74</v>
      </c>
      <c r="C287" s="123">
        <v>0</v>
      </c>
      <c r="D287" s="36">
        <v>-2.0364939700000001E-2</v>
      </c>
      <c r="E287" s="36">
        <v>0.13686725960000001</v>
      </c>
      <c r="H287" s="35"/>
      <c r="I287" s="36"/>
      <c r="J287" s="35"/>
      <c r="K287" s="35"/>
    </row>
    <row r="288" spans="2:11" x14ac:dyDescent="0.25">
      <c r="B288" s="35">
        <v>74.25</v>
      </c>
      <c r="C288" s="123">
        <v>0</v>
      </c>
      <c r="D288" s="36">
        <v>-2.0552932999999999E-2</v>
      </c>
      <c r="E288" s="36">
        <v>0.13922940789999999</v>
      </c>
      <c r="H288" s="35"/>
      <c r="I288" s="36"/>
      <c r="J288" s="35"/>
      <c r="K288" s="35"/>
    </row>
    <row r="289" spans="2:11" x14ac:dyDescent="0.25">
      <c r="B289" s="35">
        <v>74.5</v>
      </c>
      <c r="C289" s="123">
        <v>0</v>
      </c>
      <c r="D289" s="36">
        <v>-2.07401745E-2</v>
      </c>
      <c r="E289" s="36">
        <v>0.1415874499</v>
      </c>
      <c r="H289" s="35"/>
      <c r="I289" s="36"/>
      <c r="J289" s="35"/>
      <c r="K289" s="35"/>
    </row>
    <row r="290" spans="2:11" x14ac:dyDescent="0.25">
      <c r="B290" s="35">
        <v>74.75</v>
      </c>
      <c r="C290" s="123">
        <v>0</v>
      </c>
      <c r="D290" s="36">
        <v>-2.0926612599999998E-2</v>
      </c>
      <c r="E290" s="36">
        <v>0.14394126870000001</v>
      </c>
      <c r="H290" s="35"/>
      <c r="I290" s="36"/>
      <c r="J290" s="35"/>
      <c r="K290" s="35"/>
    </row>
    <row r="291" spans="2:11" x14ac:dyDescent="0.25">
      <c r="B291" s="35">
        <v>75</v>
      </c>
      <c r="C291" s="123">
        <v>0</v>
      </c>
      <c r="D291" s="36">
        <v>-2.11121989E-2</v>
      </c>
      <c r="E291" s="36">
        <v>0.14629076090000001</v>
      </c>
      <c r="H291" s="35"/>
      <c r="I291" s="36"/>
      <c r="J291" s="35"/>
      <c r="K291" s="35"/>
    </row>
    <row r="292" spans="2:11" x14ac:dyDescent="0.25">
      <c r="B292" s="35">
        <v>75.25</v>
      </c>
      <c r="C292" s="123">
        <v>0</v>
      </c>
      <c r="D292" s="36">
        <v>-2.1296892899999999E-2</v>
      </c>
      <c r="E292" s="36">
        <v>0.14863582850000001</v>
      </c>
      <c r="H292" s="35"/>
      <c r="I292" s="36"/>
      <c r="J292" s="35"/>
      <c r="K292" s="35"/>
    </row>
    <row r="293" spans="2:11" x14ac:dyDescent="0.25">
      <c r="B293" s="35">
        <v>75.5</v>
      </c>
      <c r="C293" s="123">
        <v>0</v>
      </c>
      <c r="D293" s="36">
        <v>-2.1480668599999999E-2</v>
      </c>
      <c r="E293" s="36">
        <v>0.15097636189999999</v>
      </c>
      <c r="H293" s="35"/>
      <c r="I293" s="36"/>
      <c r="J293" s="35"/>
      <c r="K293" s="35"/>
    </row>
    <row r="294" spans="2:11" x14ac:dyDescent="0.25">
      <c r="B294" s="35">
        <v>75.75</v>
      </c>
      <c r="C294" s="123">
        <v>0</v>
      </c>
      <c r="D294" s="36">
        <v>-2.16635058E-2</v>
      </c>
      <c r="E294" s="36">
        <v>0.15331224830000001</v>
      </c>
      <c r="H294" s="35"/>
      <c r="I294" s="36"/>
      <c r="J294" s="35"/>
      <c r="K294" s="35"/>
    </row>
    <row r="295" spans="2:11" x14ac:dyDescent="0.25">
      <c r="B295" s="35">
        <v>76</v>
      </c>
      <c r="C295" s="123">
        <v>0</v>
      </c>
      <c r="D295" s="36">
        <v>-2.1845386599999999E-2</v>
      </c>
      <c r="E295" s="36">
        <v>0.15564337980000001</v>
      </c>
      <c r="H295" s="35"/>
      <c r="I295" s="36"/>
      <c r="J295" s="35"/>
      <c r="K295" s="35"/>
    </row>
    <row r="296" spans="2:11" x14ac:dyDescent="0.25">
      <c r="B296" s="35">
        <v>76.25</v>
      </c>
      <c r="C296" s="123">
        <v>0</v>
      </c>
      <c r="D296" s="36">
        <v>-2.2026297199999999E-2</v>
      </c>
      <c r="E296" s="36">
        <v>0.15796966600000001</v>
      </c>
      <c r="H296" s="35"/>
      <c r="I296" s="36"/>
      <c r="J296" s="35"/>
      <c r="K296" s="35"/>
    </row>
    <row r="297" spans="2:11" x14ac:dyDescent="0.25">
      <c r="B297" s="35">
        <v>76.5</v>
      </c>
      <c r="C297" s="123">
        <v>0</v>
      </c>
      <c r="D297" s="36">
        <v>-2.2206222300000002E-2</v>
      </c>
      <c r="E297" s="36">
        <v>0.16029106600000001</v>
      </c>
      <c r="H297" s="35"/>
      <c r="I297" s="36"/>
      <c r="J297" s="35"/>
      <c r="K297" s="35"/>
    </row>
    <row r="298" spans="2:11" x14ac:dyDescent="0.25">
      <c r="B298" s="35">
        <v>76.75</v>
      </c>
      <c r="C298" s="123">
        <v>0</v>
      </c>
      <c r="D298" s="36">
        <v>-2.2385148899999999E-2</v>
      </c>
      <c r="E298" s="36">
        <v>0.1626075515</v>
      </c>
      <c r="H298" s="35"/>
      <c r="I298" s="36"/>
      <c r="J298" s="35"/>
      <c r="K298" s="35"/>
    </row>
    <row r="299" spans="2:11" x14ac:dyDescent="0.25">
      <c r="B299" s="35">
        <v>77</v>
      </c>
      <c r="C299" s="123">
        <v>0</v>
      </c>
      <c r="D299" s="36">
        <v>-2.2563069599999999E-2</v>
      </c>
      <c r="E299" s="36">
        <v>0.1649190961</v>
      </c>
      <c r="H299" s="35"/>
      <c r="I299" s="36"/>
      <c r="J299" s="35"/>
      <c r="K299" s="35"/>
    </row>
    <row r="300" spans="2:11" x14ac:dyDescent="0.25">
      <c r="B300" s="35">
        <v>77.25</v>
      </c>
      <c r="C300" s="123">
        <v>0</v>
      </c>
      <c r="D300" s="36">
        <v>-2.27399855E-2</v>
      </c>
      <c r="E300" s="36">
        <v>0.16722566820000001</v>
      </c>
      <c r="H300" s="35"/>
      <c r="I300" s="36"/>
      <c r="J300" s="35"/>
      <c r="K300" s="35"/>
    </row>
    <row r="301" spans="2:11" x14ac:dyDescent="0.25">
      <c r="B301" s="35">
        <v>77.5</v>
      </c>
      <c r="C301" s="123">
        <v>0</v>
      </c>
      <c r="D301" s="36">
        <v>-2.2915907900000001E-2</v>
      </c>
      <c r="E301" s="36">
        <v>0.16952721009999999</v>
      </c>
      <c r="H301" s="35"/>
      <c r="I301" s="36"/>
      <c r="J301" s="35"/>
      <c r="K301" s="35"/>
    </row>
    <row r="302" spans="2:11" x14ac:dyDescent="0.25">
      <c r="B302" s="35">
        <v>77.75</v>
      </c>
      <c r="C302" s="123">
        <v>0</v>
      </c>
      <c r="D302" s="36">
        <v>-2.3090850699999999E-2</v>
      </c>
      <c r="E302" s="36">
        <v>0.17182366069999999</v>
      </c>
      <c r="H302" s="35"/>
      <c r="I302" s="36"/>
      <c r="J302" s="35"/>
      <c r="K302" s="35"/>
    </row>
    <row r="303" spans="2:11" x14ac:dyDescent="0.25">
      <c r="B303" s="35">
        <v>78</v>
      </c>
      <c r="C303" s="123">
        <v>0</v>
      </c>
      <c r="D303" s="36">
        <v>-2.3264829300000001E-2</v>
      </c>
      <c r="E303" s="36">
        <v>0.17411495930000001</v>
      </c>
      <c r="H303" s="35"/>
      <c r="I303" s="36"/>
      <c r="J303" s="35"/>
      <c r="K303" s="35"/>
    </row>
    <row r="304" spans="2:11" x14ac:dyDescent="0.25">
      <c r="B304" s="35">
        <v>78.25</v>
      </c>
      <c r="C304" s="123">
        <v>0</v>
      </c>
      <c r="D304" s="36">
        <v>-2.3437858799999999E-2</v>
      </c>
      <c r="E304" s="36">
        <v>0.1764010463</v>
      </c>
      <c r="H304" s="35"/>
      <c r="I304" s="36"/>
      <c r="J304" s="35"/>
      <c r="K304" s="35"/>
    </row>
    <row r="305" spans="2:11" x14ac:dyDescent="0.25">
      <c r="B305" s="35">
        <v>78.5</v>
      </c>
      <c r="C305" s="123">
        <v>0</v>
      </c>
      <c r="D305" s="36">
        <v>-2.3609954900000001E-2</v>
      </c>
      <c r="E305" s="36">
        <v>0.17868186929999999</v>
      </c>
      <c r="H305" s="35"/>
      <c r="I305" s="36"/>
      <c r="J305" s="35"/>
      <c r="K305" s="35"/>
    </row>
    <row r="306" spans="2:11" x14ac:dyDescent="0.25">
      <c r="B306" s="35">
        <v>78.75</v>
      </c>
      <c r="C306" s="123">
        <v>0</v>
      </c>
      <c r="D306" s="36">
        <v>-2.3781133900000001E-2</v>
      </c>
      <c r="E306" s="36">
        <v>0.18095737949999999</v>
      </c>
      <c r="H306" s="35"/>
      <c r="I306" s="36"/>
      <c r="J306" s="35"/>
      <c r="K306" s="35"/>
    </row>
    <row r="307" spans="2:11" x14ac:dyDescent="0.25">
      <c r="B307" s="35">
        <v>79</v>
      </c>
      <c r="C307" s="123">
        <v>0</v>
      </c>
      <c r="D307" s="36">
        <v>-2.39514132E-2</v>
      </c>
      <c r="E307" s="36">
        <v>0.183227528</v>
      </c>
      <c r="H307" s="35"/>
      <c r="I307" s="36"/>
      <c r="J307" s="35"/>
      <c r="K307" s="35"/>
    </row>
    <row r="308" spans="2:11" x14ac:dyDescent="0.25">
      <c r="B308" s="35">
        <v>79.25</v>
      </c>
      <c r="C308" s="123">
        <v>0</v>
      </c>
      <c r="D308" s="36">
        <v>-2.4120813800000002E-2</v>
      </c>
      <c r="E308" s="36">
        <v>0.18549226260000001</v>
      </c>
      <c r="H308" s="35"/>
      <c r="I308" s="36"/>
      <c r="J308" s="35"/>
      <c r="K308" s="35"/>
    </row>
    <row r="309" spans="2:11" x14ac:dyDescent="0.25">
      <c r="B309" s="35">
        <v>79.5</v>
      </c>
      <c r="C309" s="123">
        <v>0</v>
      </c>
      <c r="D309" s="36">
        <v>-2.4289359900000002E-2</v>
      </c>
      <c r="E309" s="36">
        <v>0.18775152219999999</v>
      </c>
      <c r="H309" s="35"/>
      <c r="I309" s="36"/>
      <c r="J309" s="35"/>
      <c r="K309" s="35"/>
    </row>
    <row r="310" spans="2:11" x14ac:dyDescent="0.25">
      <c r="B310" s="35">
        <v>79.75</v>
      </c>
      <c r="C310" s="123">
        <v>0</v>
      </c>
      <c r="D310" s="36">
        <v>-2.4457076000000001E-2</v>
      </c>
      <c r="E310" s="36">
        <v>0.19000524520000001</v>
      </c>
      <c r="H310" s="35"/>
      <c r="I310" s="36"/>
      <c r="J310" s="35"/>
      <c r="K310" s="35"/>
    </row>
    <row r="311" spans="2:11" x14ac:dyDescent="0.25">
      <c r="B311" s="35">
        <v>80</v>
      </c>
      <c r="C311" s="123">
        <v>0</v>
      </c>
      <c r="D311" s="36">
        <v>-2.4623988199999999E-2</v>
      </c>
      <c r="E311" s="36">
        <v>0.1922533726</v>
      </c>
      <c r="H311" s="35"/>
      <c r="I311" s="36"/>
      <c r="J311" s="35"/>
      <c r="K311" s="35"/>
    </row>
    <row r="312" spans="2:11" x14ac:dyDescent="0.25">
      <c r="B312" s="35">
        <v>80.25</v>
      </c>
      <c r="C312" s="123">
        <v>0</v>
      </c>
      <c r="D312" s="36">
        <v>-2.4790123899999999E-2</v>
      </c>
      <c r="E312" s="36">
        <v>0.19449585210000001</v>
      </c>
      <c r="H312" s="35"/>
      <c r="I312" s="36"/>
      <c r="J312" s="35"/>
      <c r="K312" s="35"/>
    </row>
    <row r="313" spans="2:11" x14ac:dyDescent="0.25">
      <c r="B313" s="35">
        <v>80.5</v>
      </c>
      <c r="C313" s="123">
        <v>0</v>
      </c>
      <c r="D313" s="36">
        <v>-2.49555087E-2</v>
      </c>
      <c r="E313" s="36">
        <v>0.19673264609999999</v>
      </c>
      <c r="H313" s="35"/>
      <c r="I313" s="36"/>
      <c r="J313" s="35"/>
      <c r="K313" s="35"/>
    </row>
    <row r="314" spans="2:11" x14ac:dyDescent="0.25">
      <c r="B314" s="35">
        <v>80.75</v>
      </c>
      <c r="C314" s="123">
        <v>0</v>
      </c>
      <c r="D314" s="36">
        <v>-2.5120169299999998E-2</v>
      </c>
      <c r="E314" s="36">
        <v>0.19896372309999999</v>
      </c>
      <c r="H314" s="35"/>
      <c r="I314" s="36"/>
      <c r="J314" s="35"/>
      <c r="K314" s="35"/>
    </row>
    <row r="315" spans="2:11" x14ac:dyDescent="0.25">
      <c r="B315" s="35">
        <v>81</v>
      </c>
      <c r="C315" s="123">
        <v>0</v>
      </c>
      <c r="D315" s="36">
        <v>-2.5284133100000002E-2</v>
      </c>
      <c r="E315" s="36">
        <v>0.2011890539</v>
      </c>
      <c r="H315" s="35"/>
      <c r="I315" s="36"/>
      <c r="J315" s="35"/>
      <c r="K315" s="35"/>
    </row>
    <row r="316" spans="2:11" x14ac:dyDescent="0.25">
      <c r="B316" s="35">
        <v>81.25</v>
      </c>
      <c r="C316" s="123">
        <v>0</v>
      </c>
      <c r="D316" s="36">
        <v>-2.5447425900000001E-2</v>
      </c>
      <c r="E316" s="36">
        <v>0.20340861560000001</v>
      </c>
      <c r="H316" s="35"/>
      <c r="I316" s="36"/>
      <c r="J316" s="35"/>
      <c r="K316" s="35"/>
    </row>
    <row r="317" spans="2:11" x14ac:dyDescent="0.25">
      <c r="B317" s="35">
        <v>81.5</v>
      </c>
      <c r="C317" s="123">
        <v>0</v>
      </c>
      <c r="D317" s="36">
        <v>-2.5610066500000001E-2</v>
      </c>
      <c r="E317" s="36">
        <v>0.20562239530000001</v>
      </c>
      <c r="H317" s="35"/>
      <c r="I317" s="36"/>
      <c r="J317" s="35"/>
      <c r="K317" s="35"/>
    </row>
    <row r="318" spans="2:11" x14ac:dyDescent="0.25">
      <c r="B318" s="35">
        <v>81.75</v>
      </c>
      <c r="C318" s="123">
        <v>0</v>
      </c>
      <c r="D318" s="36">
        <v>-2.5772071099999998E-2</v>
      </c>
      <c r="E318" s="36">
        <v>0.2078303816</v>
      </c>
      <c r="H318" s="35"/>
      <c r="I318" s="36"/>
      <c r="J318" s="35"/>
      <c r="K318" s="35"/>
    </row>
    <row r="319" spans="2:11" x14ac:dyDescent="0.25">
      <c r="B319" s="35">
        <v>82</v>
      </c>
      <c r="C319" s="123">
        <v>0</v>
      </c>
      <c r="D319" s="36">
        <v>-2.5933456300000001E-2</v>
      </c>
      <c r="E319" s="36">
        <v>0.21003256379999999</v>
      </c>
      <c r="H319" s="35"/>
      <c r="I319" s="36"/>
      <c r="J319" s="35"/>
      <c r="K319" s="35"/>
    </row>
    <row r="320" spans="2:11" x14ac:dyDescent="0.25">
      <c r="B320" s="35">
        <v>82.25</v>
      </c>
      <c r="C320" s="123">
        <v>0</v>
      </c>
      <c r="D320" s="36">
        <v>-2.6094237900000001E-2</v>
      </c>
      <c r="E320" s="36">
        <v>0.21222893230000001</v>
      </c>
      <c r="H320" s="35"/>
      <c r="I320" s="36"/>
      <c r="J320" s="35"/>
      <c r="K320" s="35"/>
    </row>
    <row r="321" spans="2:11" x14ac:dyDescent="0.25">
      <c r="B321" s="35">
        <v>82.5</v>
      </c>
      <c r="C321" s="123">
        <v>0</v>
      </c>
      <c r="D321" s="36">
        <v>-2.6254431599999999E-2</v>
      </c>
      <c r="E321" s="36">
        <v>0.21441948259999999</v>
      </c>
      <c r="H321" s="35"/>
      <c r="I321" s="36"/>
      <c r="J321" s="35"/>
      <c r="K321" s="35"/>
    </row>
    <row r="322" spans="2:11" x14ac:dyDescent="0.25">
      <c r="B322" s="35">
        <v>82.75</v>
      </c>
      <c r="C322" s="123">
        <v>0</v>
      </c>
      <c r="D322" s="36">
        <v>-2.6414053400000002E-2</v>
      </c>
      <c r="E322" s="36">
        <v>0.2166042104</v>
      </c>
      <c r="H322" s="35"/>
      <c r="I322" s="36"/>
      <c r="J322" s="35"/>
      <c r="K322" s="35"/>
    </row>
    <row r="323" spans="2:11" x14ac:dyDescent="0.25">
      <c r="B323" s="35">
        <v>83</v>
      </c>
      <c r="C323" s="123">
        <v>0</v>
      </c>
      <c r="D323" s="36">
        <v>-2.65731193E-2</v>
      </c>
      <c r="E323" s="36">
        <v>0.21878311140000001</v>
      </c>
      <c r="H323" s="35"/>
      <c r="I323" s="36"/>
      <c r="J323" s="35"/>
      <c r="K323" s="35"/>
    </row>
    <row r="324" spans="2:11" x14ac:dyDescent="0.25">
      <c r="B324" s="35">
        <v>83.25</v>
      </c>
      <c r="C324" s="123">
        <v>0</v>
      </c>
      <c r="D324" s="36">
        <v>-2.6731644700000001E-2</v>
      </c>
      <c r="E324" s="36">
        <v>0.22095618380000001</v>
      </c>
      <c r="H324" s="35"/>
      <c r="I324" s="36"/>
      <c r="J324" s="35"/>
      <c r="K324" s="35"/>
    </row>
    <row r="325" spans="2:11" x14ac:dyDescent="0.25">
      <c r="B325" s="35">
        <v>83.5</v>
      </c>
      <c r="C325" s="123">
        <v>0</v>
      </c>
      <c r="D325" s="36">
        <v>-2.6889642200000001E-2</v>
      </c>
      <c r="E325" s="36">
        <v>0.2231234339</v>
      </c>
      <c r="H325" s="35"/>
      <c r="I325" s="36"/>
      <c r="J325" s="35"/>
      <c r="K325" s="35"/>
    </row>
    <row r="326" spans="2:11" x14ac:dyDescent="0.25">
      <c r="B326" s="35">
        <v>83.75</v>
      </c>
      <c r="C326" s="123">
        <v>0</v>
      </c>
      <c r="D326" s="36">
        <v>-2.7047123199999999E-2</v>
      </c>
      <c r="E326" s="36">
        <v>0.2252848704</v>
      </c>
      <c r="H326" s="35"/>
      <c r="I326" s="36"/>
      <c r="J326" s="35"/>
      <c r="K326" s="35"/>
    </row>
    <row r="327" spans="2:11" x14ac:dyDescent="0.25">
      <c r="B327" s="35">
        <v>84</v>
      </c>
      <c r="C327" s="123">
        <v>0</v>
      </c>
      <c r="D327" s="36">
        <v>-2.7204098400000001E-2</v>
      </c>
      <c r="E327" s="36">
        <v>0.22744050169999999</v>
      </c>
      <c r="H327" s="35"/>
      <c r="I327" s="36"/>
      <c r="J327" s="35"/>
      <c r="K327" s="35"/>
    </row>
    <row r="328" spans="2:11" x14ac:dyDescent="0.25">
      <c r="B328" s="35">
        <v>84.25</v>
      </c>
      <c r="C328" s="123">
        <v>0</v>
      </c>
      <c r="D328" s="36">
        <v>-2.7360578399999998E-2</v>
      </c>
      <c r="E328" s="36">
        <v>0.2295903353</v>
      </c>
      <c r="H328" s="35"/>
      <c r="I328" s="36"/>
      <c r="J328" s="35"/>
      <c r="K328" s="35"/>
    </row>
    <row r="329" spans="2:11" x14ac:dyDescent="0.25">
      <c r="B329" s="35">
        <v>84.5</v>
      </c>
      <c r="C329" s="123">
        <v>0</v>
      </c>
      <c r="D329" s="36">
        <v>-2.7516575200000001E-2</v>
      </c>
      <c r="E329" s="36">
        <v>0.23173437499999999</v>
      </c>
      <c r="H329" s="35"/>
      <c r="I329" s="36"/>
      <c r="J329" s="35"/>
      <c r="K329" s="35"/>
    </row>
    <row r="330" spans="2:11" x14ac:dyDescent="0.25">
      <c r="B330" s="35">
        <v>84.75</v>
      </c>
      <c r="C330" s="123">
        <v>0</v>
      </c>
      <c r="D330" s="36">
        <v>-2.7672101399999999E-2</v>
      </c>
      <c r="E330" s="36">
        <v>0.2338726227</v>
      </c>
      <c r="H330" s="35"/>
      <c r="I330" s="36"/>
      <c r="J330" s="35"/>
      <c r="K330" s="35"/>
    </row>
    <row r="331" spans="2:11" x14ac:dyDescent="0.25">
      <c r="B331" s="35">
        <v>85</v>
      </c>
      <c r="C331" s="123">
        <v>0</v>
      </c>
      <c r="D331" s="36">
        <v>-2.7827169700000001E-2</v>
      </c>
      <c r="E331" s="36">
        <v>0.23600507949999999</v>
      </c>
      <c r="H331" s="35"/>
      <c r="I331" s="36"/>
      <c r="J331" s="35"/>
      <c r="K331" s="35"/>
    </row>
    <row r="332" spans="2:11" x14ac:dyDescent="0.25">
      <c r="B332" s="35">
        <v>85.25</v>
      </c>
      <c r="C332" s="123">
        <v>0</v>
      </c>
      <c r="D332" s="36">
        <v>-2.7981791299999999E-2</v>
      </c>
      <c r="E332" s="36">
        <v>0.23813174910000001</v>
      </c>
      <c r="H332" s="35"/>
      <c r="I332" s="36"/>
      <c r="J332" s="35"/>
      <c r="K332" s="35"/>
    </row>
    <row r="333" spans="2:11" x14ac:dyDescent="0.25">
      <c r="B333" s="35">
        <v>85.5</v>
      </c>
      <c r="C333" s="123">
        <v>0</v>
      </c>
      <c r="D333" s="36">
        <v>-2.8135970400000002E-2</v>
      </c>
      <c r="E333" s="36">
        <v>0.24025264299999999</v>
      </c>
      <c r="H333" s="35"/>
      <c r="I333" s="36"/>
      <c r="J333" s="35"/>
      <c r="K333" s="35"/>
    </row>
    <row r="334" spans="2:11" x14ac:dyDescent="0.25">
      <c r="B334" s="35">
        <v>85.75</v>
      </c>
      <c r="C334" s="123">
        <v>0</v>
      </c>
      <c r="D334" s="36">
        <v>-2.8289709499999999E-2</v>
      </c>
      <c r="E334" s="36">
        <v>0.24236777479999999</v>
      </c>
      <c r="H334" s="35"/>
      <c r="I334" s="36"/>
      <c r="J334" s="35"/>
      <c r="K334" s="35"/>
    </row>
    <row r="335" spans="2:11" x14ac:dyDescent="0.25">
      <c r="B335" s="35">
        <v>86</v>
      </c>
      <c r="C335" s="123">
        <v>0</v>
      </c>
      <c r="D335" s="36">
        <v>-2.84430112E-2</v>
      </c>
      <c r="E335" s="36">
        <v>0.24447715810000001</v>
      </c>
      <c r="H335" s="35"/>
      <c r="I335" s="36"/>
      <c r="J335" s="35"/>
      <c r="K335" s="35"/>
    </row>
    <row r="336" spans="2:11" x14ac:dyDescent="0.25">
      <c r="B336" s="35">
        <v>86.25</v>
      </c>
      <c r="C336" s="123">
        <v>0</v>
      </c>
      <c r="D336" s="36">
        <v>-2.85958792E-2</v>
      </c>
      <c r="E336" s="36">
        <v>0.2465808072</v>
      </c>
      <c r="H336" s="35"/>
      <c r="I336" s="36"/>
      <c r="J336" s="35"/>
      <c r="K336" s="35"/>
    </row>
    <row r="337" spans="2:11" x14ac:dyDescent="0.25">
      <c r="B337" s="35">
        <v>86.5</v>
      </c>
      <c r="C337" s="123">
        <v>0</v>
      </c>
      <c r="D337" s="36">
        <v>-2.8748317999999998E-2</v>
      </c>
      <c r="E337" s="36">
        <v>0.2486787348</v>
      </c>
      <c r="H337" s="35"/>
      <c r="I337" s="36"/>
      <c r="J337" s="35"/>
      <c r="K337" s="35"/>
    </row>
    <row r="338" spans="2:11" x14ac:dyDescent="0.25">
      <c r="B338" s="35">
        <v>86.75</v>
      </c>
      <c r="C338" s="123">
        <v>0</v>
      </c>
      <c r="D338" s="36">
        <v>-2.8900332099999999E-2</v>
      </c>
      <c r="E338" s="36">
        <v>0.2507709534</v>
      </c>
      <c r="H338" s="35"/>
      <c r="I338" s="36"/>
      <c r="J338" s="35"/>
      <c r="K338" s="35"/>
    </row>
    <row r="339" spans="2:11" x14ac:dyDescent="0.25">
      <c r="B339" s="35">
        <v>87</v>
      </c>
      <c r="C339" s="123">
        <v>0</v>
      </c>
      <c r="D339" s="36">
        <v>-2.9051926700000001E-2</v>
      </c>
      <c r="E339" s="36">
        <v>0.25285747720000001</v>
      </c>
      <c r="H339" s="35"/>
      <c r="I339" s="36"/>
      <c r="J339" s="35"/>
      <c r="K339" s="35"/>
    </row>
    <row r="340" spans="2:11" x14ac:dyDescent="0.25">
      <c r="B340" s="35">
        <v>87.25</v>
      </c>
      <c r="C340" s="123">
        <v>0</v>
      </c>
      <c r="D340" s="36">
        <v>-2.92031076E-2</v>
      </c>
      <c r="E340" s="36">
        <v>0.25493832129999999</v>
      </c>
      <c r="H340" s="35"/>
      <c r="I340" s="36"/>
      <c r="J340" s="35"/>
      <c r="K340" s="35"/>
    </row>
    <row r="341" spans="2:11" x14ac:dyDescent="0.25">
      <c r="B341" s="35">
        <v>87.5</v>
      </c>
      <c r="C341" s="123">
        <v>0</v>
      </c>
      <c r="D341" s="36">
        <v>-2.9353881299999999E-2</v>
      </c>
      <c r="E341" s="36">
        <v>0.2570134952</v>
      </c>
      <c r="H341" s="35"/>
      <c r="I341" s="36"/>
      <c r="J341" s="35"/>
      <c r="K341" s="35"/>
    </row>
    <row r="342" spans="2:11" x14ac:dyDescent="0.25">
      <c r="B342" s="35">
        <v>87.75</v>
      </c>
      <c r="C342" s="123">
        <v>0</v>
      </c>
      <c r="D342" s="36">
        <v>-2.9504254600000002E-2</v>
      </c>
      <c r="E342" s="36">
        <v>0.25908300740000001</v>
      </c>
      <c r="H342" s="35"/>
      <c r="I342" s="36"/>
      <c r="J342" s="35"/>
      <c r="K342" s="35"/>
    </row>
    <row r="343" spans="2:11" x14ac:dyDescent="0.25">
      <c r="B343" s="35">
        <v>88</v>
      </c>
      <c r="C343" s="123">
        <v>0</v>
      </c>
      <c r="D343" s="36">
        <v>-2.9654234799999998E-2</v>
      </c>
      <c r="E343" s="36">
        <v>0.2611468663</v>
      </c>
      <c r="H343" s="35"/>
      <c r="I343" s="36"/>
      <c r="J343" s="35"/>
      <c r="K343" s="35"/>
    </row>
    <row r="344" spans="2:11" x14ac:dyDescent="0.25">
      <c r="B344" s="35">
        <v>88.25</v>
      </c>
      <c r="C344" s="123">
        <v>0</v>
      </c>
      <c r="D344" s="36">
        <v>-2.98038277E-2</v>
      </c>
      <c r="E344" s="36">
        <v>0.26320508190000003</v>
      </c>
      <c r="H344" s="35"/>
      <c r="I344" s="36"/>
      <c r="J344" s="35"/>
      <c r="K344" s="35"/>
    </row>
    <row r="345" spans="2:11" x14ac:dyDescent="0.25">
      <c r="B345" s="35">
        <v>88.5</v>
      </c>
      <c r="C345" s="123">
        <v>0</v>
      </c>
      <c r="D345" s="36">
        <v>-2.9953034999999999E-2</v>
      </c>
      <c r="E345" s="36">
        <v>0.26525766919999999</v>
      </c>
      <c r="H345" s="35"/>
      <c r="I345" s="36"/>
      <c r="J345" s="35"/>
      <c r="K345" s="35"/>
    </row>
    <row r="346" spans="2:11" x14ac:dyDescent="0.25">
      <c r="B346" s="35">
        <v>88.75</v>
      </c>
      <c r="C346" s="123">
        <v>0</v>
      </c>
      <c r="D346" s="36">
        <v>-3.0101857100000001E-2</v>
      </c>
      <c r="E346" s="36">
        <v>0.26730464459999997</v>
      </c>
      <c r="H346" s="35"/>
      <c r="I346" s="36"/>
      <c r="J346" s="35"/>
      <c r="K346" s="35"/>
    </row>
    <row r="347" spans="2:11" x14ac:dyDescent="0.25">
      <c r="B347" s="35">
        <v>89</v>
      </c>
      <c r="C347" s="123">
        <v>0</v>
      </c>
      <c r="D347" s="36">
        <v>-3.0250294699999999E-2</v>
      </c>
      <c r="E347" s="36">
        <v>0.26934602439999999</v>
      </c>
      <c r="H347" s="35"/>
      <c r="I347" s="36"/>
      <c r="J347" s="35"/>
      <c r="K347" s="35"/>
    </row>
    <row r="348" spans="2:11" x14ac:dyDescent="0.25">
      <c r="B348" s="35">
        <v>89.25</v>
      </c>
      <c r="C348" s="123">
        <v>0</v>
      </c>
      <c r="D348" s="36">
        <v>-3.03983489E-2</v>
      </c>
      <c r="E348" s="36">
        <v>0.27138182550000001</v>
      </c>
      <c r="H348" s="35"/>
      <c r="I348" s="36"/>
      <c r="J348" s="35"/>
      <c r="K348" s="35"/>
    </row>
    <row r="349" spans="2:11" x14ac:dyDescent="0.25">
      <c r="B349" s="35">
        <v>89.5</v>
      </c>
      <c r="C349" s="123">
        <v>0</v>
      </c>
      <c r="D349" s="36">
        <v>-3.05460197E-2</v>
      </c>
      <c r="E349" s="36">
        <v>0.27341206849999999</v>
      </c>
      <c r="H349" s="35"/>
      <c r="I349" s="36"/>
      <c r="J349" s="35"/>
      <c r="K349" s="35"/>
    </row>
    <row r="350" spans="2:11" x14ac:dyDescent="0.25">
      <c r="B350" s="35">
        <v>89.75</v>
      </c>
      <c r="C350" s="123">
        <v>0</v>
      </c>
      <c r="D350" s="36">
        <v>-3.0693307E-2</v>
      </c>
      <c r="E350" s="36">
        <v>0.27543677480000001</v>
      </c>
      <c r="H350" s="35"/>
      <c r="I350" s="36"/>
      <c r="J350" s="35"/>
      <c r="K350" s="35"/>
    </row>
    <row r="351" spans="2:11" x14ac:dyDescent="0.25">
      <c r="B351" s="35">
        <v>90</v>
      </c>
      <c r="C351" s="123">
        <v>0</v>
      </c>
      <c r="D351" s="36">
        <v>-3.0840211400000001E-2</v>
      </c>
      <c r="E351" s="36">
        <v>0.27745596560000002</v>
      </c>
      <c r="H351" s="35"/>
      <c r="I351" s="36"/>
      <c r="J351" s="35"/>
      <c r="K351" s="35"/>
    </row>
    <row r="352" spans="2:11" x14ac:dyDescent="0.25">
      <c r="B352" s="35">
        <v>90.25</v>
      </c>
      <c r="C352" s="123">
        <v>0</v>
      </c>
      <c r="D352" s="36">
        <v>-3.0986733200000002E-2</v>
      </c>
      <c r="E352" s="36">
        <v>0.27946966210000002</v>
      </c>
      <c r="H352" s="35"/>
      <c r="I352" s="36"/>
      <c r="J352" s="35"/>
      <c r="K352" s="35"/>
    </row>
    <row r="353" spans="2:11" x14ac:dyDescent="0.25">
      <c r="B353" s="35">
        <v>90.5</v>
      </c>
      <c r="C353" s="123">
        <v>0</v>
      </c>
      <c r="D353" s="36">
        <v>-3.1132872499999999E-2</v>
      </c>
      <c r="E353" s="36">
        <v>0.28147788489999997</v>
      </c>
      <c r="H353" s="35"/>
      <c r="I353" s="36"/>
      <c r="J353" s="35"/>
      <c r="K353" s="35"/>
    </row>
    <row r="354" spans="2:11" x14ac:dyDescent="0.25">
      <c r="B354" s="35">
        <v>90.75</v>
      </c>
      <c r="C354" s="123">
        <v>0</v>
      </c>
      <c r="D354" s="36">
        <v>-3.1278629199999998E-2</v>
      </c>
      <c r="E354" s="36">
        <v>0.28348065420000002</v>
      </c>
      <c r="H354" s="35"/>
      <c r="I354" s="36"/>
      <c r="J354" s="35"/>
      <c r="K354" s="35"/>
    </row>
    <row r="355" spans="2:11" x14ac:dyDescent="0.25">
      <c r="B355" s="35">
        <v>91</v>
      </c>
      <c r="C355" s="123">
        <v>0</v>
      </c>
      <c r="D355" s="36">
        <v>-3.1424003200000002E-2</v>
      </c>
      <c r="E355" s="36">
        <v>0.28547799019999998</v>
      </c>
      <c r="H355" s="35"/>
      <c r="I355" s="36"/>
      <c r="J355" s="35"/>
      <c r="K355" s="35"/>
    </row>
    <row r="356" spans="2:11" x14ac:dyDescent="0.25">
      <c r="B356" s="35">
        <v>91.25</v>
      </c>
      <c r="C356" s="123">
        <v>0</v>
      </c>
      <c r="D356" s="36">
        <v>-3.1568994500000003E-2</v>
      </c>
      <c r="E356" s="36">
        <v>0.28746991389999998</v>
      </c>
      <c r="H356" s="35"/>
      <c r="I356" s="36"/>
      <c r="J356" s="35"/>
      <c r="K356" s="35"/>
    </row>
    <row r="357" spans="2:11" x14ac:dyDescent="0.25">
      <c r="B357" s="35">
        <v>91.5</v>
      </c>
      <c r="C357" s="123">
        <v>0</v>
      </c>
      <c r="D357" s="36">
        <v>-3.1713603600000001E-2</v>
      </c>
      <c r="E357" s="36">
        <v>0.28945644869999998</v>
      </c>
      <c r="H357" s="35"/>
      <c r="I357" s="36"/>
      <c r="J357" s="35"/>
      <c r="K357" s="35"/>
    </row>
    <row r="358" spans="2:11" x14ac:dyDescent="0.25">
      <c r="B358" s="35">
        <v>91.75</v>
      </c>
      <c r="C358" s="123">
        <v>0</v>
      </c>
      <c r="D358" s="36">
        <v>-3.1857830900000002E-2</v>
      </c>
      <c r="E358" s="36">
        <v>0.29143761829999998</v>
      </c>
      <c r="H358" s="35"/>
      <c r="I358" s="36"/>
      <c r="J358" s="35"/>
      <c r="K358" s="35"/>
    </row>
    <row r="359" spans="2:11" x14ac:dyDescent="0.25">
      <c r="B359" s="35">
        <v>92</v>
      </c>
      <c r="C359" s="123">
        <v>0</v>
      </c>
      <c r="D359" s="36">
        <v>-3.2001676999999999E-2</v>
      </c>
      <c r="E359" s="36">
        <v>0.29341344679999998</v>
      </c>
      <c r="H359" s="35"/>
      <c r="I359" s="36"/>
      <c r="J359" s="35"/>
      <c r="K359" s="35"/>
    </row>
    <row r="360" spans="2:11" x14ac:dyDescent="0.25">
      <c r="B360" s="35">
        <v>92.25</v>
      </c>
      <c r="C360" s="123">
        <v>0</v>
      </c>
      <c r="D360" s="36">
        <v>-3.2145142600000003E-2</v>
      </c>
      <c r="E360" s="36">
        <v>0.295383958</v>
      </c>
      <c r="H360" s="35"/>
      <c r="I360" s="36"/>
      <c r="J360" s="35"/>
      <c r="K360" s="35"/>
    </row>
    <row r="361" spans="2:11" x14ac:dyDescent="0.25">
      <c r="B361" s="35">
        <v>92.5</v>
      </c>
      <c r="C361" s="123">
        <v>0</v>
      </c>
      <c r="D361" s="36">
        <v>-3.2288228699999998E-2</v>
      </c>
      <c r="E361" s="36">
        <v>0.29734917750000001</v>
      </c>
      <c r="H361" s="35"/>
      <c r="I361" s="36"/>
      <c r="J361" s="35"/>
      <c r="K361" s="35"/>
    </row>
    <row r="362" spans="2:11" x14ac:dyDescent="0.25">
      <c r="B362" s="35">
        <v>92.75</v>
      </c>
      <c r="C362" s="123">
        <v>0</v>
      </c>
      <c r="D362" s="36">
        <v>-3.2430936600000002E-2</v>
      </c>
      <c r="E362" s="36">
        <v>0.29930913129999998</v>
      </c>
      <c r="H362" s="35"/>
      <c r="I362" s="36"/>
      <c r="J362" s="35"/>
      <c r="K362" s="35"/>
    </row>
    <row r="363" spans="2:11" x14ac:dyDescent="0.25">
      <c r="B363" s="35">
        <v>93</v>
      </c>
      <c r="C363" s="123">
        <v>0</v>
      </c>
      <c r="D363" s="36">
        <v>-3.2573267599999997E-2</v>
      </c>
      <c r="E363" s="36">
        <v>0.30126384470000001</v>
      </c>
      <c r="H363" s="35"/>
      <c r="I363" s="36"/>
      <c r="J363" s="35"/>
      <c r="K363" s="35"/>
    </row>
    <row r="364" spans="2:11" x14ac:dyDescent="0.25">
      <c r="B364" s="35">
        <v>93.25</v>
      </c>
      <c r="C364" s="123">
        <v>0</v>
      </c>
      <c r="D364" s="36">
        <v>-3.2715222799999999E-2</v>
      </c>
      <c r="E364" s="36">
        <v>0.30321334329999999</v>
      </c>
      <c r="H364" s="35"/>
      <c r="I364" s="36"/>
      <c r="J364" s="35"/>
      <c r="K364" s="35"/>
    </row>
    <row r="365" spans="2:11" x14ac:dyDescent="0.25">
      <c r="B365" s="35">
        <v>93.5</v>
      </c>
      <c r="C365" s="123">
        <v>0</v>
      </c>
      <c r="D365" s="36">
        <v>-3.2856803400000002E-2</v>
      </c>
      <c r="E365" s="36">
        <v>0.30515765179999998</v>
      </c>
      <c r="H365" s="35"/>
      <c r="I365" s="36"/>
      <c r="J365" s="35"/>
      <c r="K365" s="35"/>
    </row>
    <row r="366" spans="2:11" x14ac:dyDescent="0.25">
      <c r="B366" s="35">
        <v>93.75</v>
      </c>
      <c r="C366" s="123">
        <v>0</v>
      </c>
      <c r="D366" s="36">
        <v>-3.2998010500000001E-2</v>
      </c>
      <c r="E366" s="36">
        <v>0.3070967946</v>
      </c>
      <c r="H366" s="35"/>
      <c r="I366" s="36"/>
      <c r="J366" s="35"/>
      <c r="K366" s="35"/>
    </row>
    <row r="367" spans="2:11" x14ac:dyDescent="0.25">
      <c r="B367" s="35">
        <v>94</v>
      </c>
      <c r="C367" s="123">
        <v>0</v>
      </c>
      <c r="D367" s="36">
        <v>-3.3138845100000001E-2</v>
      </c>
      <c r="E367" s="36">
        <v>0.3090307961</v>
      </c>
      <c r="H367" s="35"/>
      <c r="I367" s="36"/>
      <c r="J367" s="35"/>
      <c r="K367" s="35"/>
    </row>
    <row r="368" spans="2:11" x14ac:dyDescent="0.25">
      <c r="B368" s="35">
        <v>94.25</v>
      </c>
      <c r="C368" s="123">
        <v>0</v>
      </c>
      <c r="D368" s="36">
        <v>-3.3279308299999998E-2</v>
      </c>
      <c r="E368" s="36">
        <v>0.31095968029999999</v>
      </c>
      <c r="H368" s="35"/>
      <c r="I368" s="36"/>
      <c r="J368" s="35"/>
      <c r="K368" s="35"/>
    </row>
    <row r="369" spans="2:11" x14ac:dyDescent="0.25">
      <c r="B369" s="35">
        <v>94.5</v>
      </c>
      <c r="C369" s="123">
        <v>0</v>
      </c>
      <c r="D369" s="36">
        <v>-3.34194014E-2</v>
      </c>
      <c r="E369" s="36">
        <v>0.3128834694</v>
      </c>
      <c r="H369" s="35"/>
      <c r="I369" s="36"/>
      <c r="J369" s="35"/>
      <c r="K369" s="35"/>
    </row>
    <row r="370" spans="2:11" x14ac:dyDescent="0.25">
      <c r="B370" s="35">
        <v>94.75</v>
      </c>
      <c r="C370" s="123">
        <v>0</v>
      </c>
      <c r="D370" s="36">
        <v>-3.3559125699999998E-2</v>
      </c>
      <c r="E370" s="36">
        <v>0.31480218560000001</v>
      </c>
      <c r="H370" s="35"/>
      <c r="I370" s="36"/>
      <c r="J370" s="35"/>
      <c r="K370" s="35"/>
    </row>
    <row r="371" spans="2:11" x14ac:dyDescent="0.25">
      <c r="B371" s="35">
        <v>95</v>
      </c>
      <c r="C371" s="123">
        <v>0</v>
      </c>
      <c r="D371" s="36">
        <v>-3.3698482500000002E-2</v>
      </c>
      <c r="E371" s="36">
        <v>0.31671585070000002</v>
      </c>
      <c r="H371" s="35"/>
      <c r="I371" s="36"/>
      <c r="J371" s="35"/>
      <c r="K371" s="35"/>
    </row>
    <row r="372" spans="2:11" x14ac:dyDescent="0.25">
      <c r="H372" s="35"/>
      <c r="I372" s="36"/>
      <c r="J372" s="35"/>
      <c r="K372" s="35"/>
    </row>
    <row r="373" spans="2:11" x14ac:dyDescent="0.25">
      <c r="H373" s="35"/>
      <c r="I373" s="36"/>
      <c r="J373" s="35"/>
      <c r="K373" s="35"/>
    </row>
    <row r="374" spans="2:11" x14ac:dyDescent="0.25">
      <c r="H374" s="35"/>
      <c r="I374" s="36"/>
      <c r="J374" s="35"/>
      <c r="K374" s="35"/>
    </row>
    <row r="375" spans="2:11" x14ac:dyDescent="0.25">
      <c r="H375" s="35"/>
      <c r="I375" s="36"/>
      <c r="J375" s="35"/>
      <c r="K375" s="35"/>
    </row>
    <row r="376" spans="2:11" x14ac:dyDescent="0.25">
      <c r="H376" s="35"/>
      <c r="I376" s="36"/>
      <c r="J376" s="35"/>
      <c r="K376" s="35"/>
    </row>
    <row r="377" spans="2:11" x14ac:dyDescent="0.25">
      <c r="H377" s="35"/>
      <c r="I377" s="36"/>
      <c r="J377" s="35"/>
      <c r="K377" s="35"/>
    </row>
    <row r="378" spans="2:11" x14ac:dyDescent="0.25">
      <c r="H378" s="35"/>
      <c r="I378" s="36"/>
      <c r="J378" s="35"/>
      <c r="K378" s="35"/>
    </row>
    <row r="379" spans="2:11" x14ac:dyDescent="0.25">
      <c r="H379" s="35"/>
      <c r="I379" s="36"/>
      <c r="J379" s="35"/>
      <c r="K379" s="35"/>
    </row>
    <row r="380" spans="2:11" x14ac:dyDescent="0.25">
      <c r="H380" s="35"/>
      <c r="I380" s="36"/>
      <c r="J380" s="35"/>
      <c r="K380" s="35"/>
    </row>
    <row r="381" spans="2:11" x14ac:dyDescent="0.25">
      <c r="H381" s="35"/>
      <c r="I381" s="36"/>
      <c r="J381" s="35"/>
      <c r="K381" s="35"/>
    </row>
    <row r="382" spans="2:11" x14ac:dyDescent="0.25">
      <c r="H382" s="35"/>
      <c r="I382" s="36"/>
      <c r="J382" s="35"/>
      <c r="K382" s="35"/>
    </row>
    <row r="383" spans="2:11" x14ac:dyDescent="0.25">
      <c r="H383" s="35"/>
      <c r="I383" s="36"/>
      <c r="J383" s="35"/>
      <c r="K383" s="35"/>
    </row>
    <row r="384" spans="2:11" x14ac:dyDescent="0.25">
      <c r="H384" s="35"/>
      <c r="I384" s="36"/>
      <c r="J384" s="35"/>
      <c r="K384" s="35"/>
    </row>
    <row r="385" spans="8:11" x14ac:dyDescent="0.25">
      <c r="H385" s="35"/>
      <c r="I385" s="36"/>
      <c r="J385" s="35"/>
      <c r="K385" s="35"/>
    </row>
    <row r="386" spans="8:11" x14ac:dyDescent="0.25">
      <c r="H386" s="35"/>
      <c r="I386" s="36"/>
      <c r="J386" s="35"/>
      <c r="K386" s="35"/>
    </row>
    <row r="387" spans="8:11" x14ac:dyDescent="0.25">
      <c r="H387" s="35"/>
      <c r="I387" s="36"/>
      <c r="J387" s="35"/>
      <c r="K387" s="35"/>
    </row>
    <row r="388" spans="8:11" x14ac:dyDescent="0.25">
      <c r="H388" s="35"/>
      <c r="I388" s="36"/>
      <c r="J388" s="35"/>
      <c r="K388" s="35"/>
    </row>
    <row r="389" spans="8:11" x14ac:dyDescent="0.25">
      <c r="H389" s="35"/>
      <c r="I389" s="36"/>
      <c r="J389" s="35"/>
      <c r="K389" s="35"/>
    </row>
    <row r="390" spans="8:11" x14ac:dyDescent="0.25">
      <c r="H390" s="35"/>
      <c r="I390" s="36"/>
      <c r="J390" s="35"/>
      <c r="K390" s="35"/>
    </row>
    <row r="391" spans="8:11" x14ac:dyDescent="0.25">
      <c r="H391" s="35"/>
      <c r="I391" s="36"/>
      <c r="J391" s="35"/>
      <c r="K391" s="35"/>
    </row>
    <row r="392" spans="8:11" x14ac:dyDescent="0.25">
      <c r="H392" s="35"/>
      <c r="I392" s="36"/>
      <c r="J392" s="35"/>
      <c r="K392" s="35"/>
    </row>
    <row r="393" spans="8:11" x14ac:dyDescent="0.25">
      <c r="H393" s="35"/>
      <c r="I393" s="36"/>
      <c r="J393" s="35"/>
      <c r="K393" s="35"/>
    </row>
    <row r="394" spans="8:11" x14ac:dyDescent="0.25">
      <c r="H394" s="35"/>
      <c r="I394" s="36"/>
      <c r="J394" s="35"/>
      <c r="K394" s="35"/>
    </row>
    <row r="395" spans="8:11" x14ac:dyDescent="0.25">
      <c r="H395" s="35"/>
      <c r="I395" s="36"/>
      <c r="J395" s="35"/>
      <c r="K395" s="35"/>
    </row>
    <row r="396" spans="8:11" x14ac:dyDescent="0.25">
      <c r="H396" s="35"/>
      <c r="I396" s="36"/>
      <c r="J396" s="35"/>
      <c r="K396" s="35"/>
    </row>
    <row r="397" spans="8:11" x14ac:dyDescent="0.25">
      <c r="H397" s="35"/>
      <c r="I397" s="36"/>
      <c r="J397" s="35"/>
      <c r="K397" s="35"/>
    </row>
    <row r="398" spans="8:11" x14ac:dyDescent="0.25">
      <c r="H398" s="35"/>
      <c r="I398" s="36"/>
      <c r="J398" s="35"/>
      <c r="K398" s="35"/>
    </row>
    <row r="399" spans="8:11" x14ac:dyDescent="0.25">
      <c r="H399" s="35"/>
      <c r="I399" s="36"/>
      <c r="J399" s="35"/>
      <c r="K399" s="35"/>
    </row>
    <row r="400" spans="8:11" x14ac:dyDescent="0.25">
      <c r="H400" s="35"/>
      <c r="I400" s="36"/>
      <c r="J400" s="35"/>
      <c r="K400" s="35"/>
    </row>
    <row r="401" spans="8:11" x14ac:dyDescent="0.25">
      <c r="H401" s="35"/>
      <c r="I401" s="36"/>
      <c r="J401" s="35"/>
      <c r="K401" s="35"/>
    </row>
    <row r="402" spans="8:11" x14ac:dyDescent="0.25">
      <c r="H402" s="35"/>
      <c r="I402" s="36"/>
      <c r="J402" s="35"/>
      <c r="K402" s="35"/>
    </row>
    <row r="403" spans="8:11" x14ac:dyDescent="0.25">
      <c r="H403" s="35"/>
      <c r="I403" s="36"/>
      <c r="J403" s="35"/>
      <c r="K403" s="35"/>
    </row>
    <row r="404" spans="8:11" x14ac:dyDescent="0.25">
      <c r="H404" s="35"/>
      <c r="I404" s="36"/>
      <c r="J404" s="35"/>
      <c r="K404" s="35"/>
    </row>
    <row r="405" spans="8:11" x14ac:dyDescent="0.25">
      <c r="H405" s="35"/>
      <c r="I405" s="36"/>
      <c r="J405" s="35"/>
      <c r="K405" s="35"/>
    </row>
    <row r="406" spans="8:11" x14ac:dyDescent="0.25">
      <c r="H406" s="35"/>
    </row>
  </sheetData>
  <mergeCells count="11">
    <mergeCell ref="U3:V3"/>
    <mergeCell ref="X3:Y3"/>
    <mergeCell ref="B1:E1"/>
    <mergeCell ref="G1:O1"/>
    <mergeCell ref="Q1:Y1"/>
    <mergeCell ref="H2:O2"/>
    <mergeCell ref="R2:Y2"/>
    <mergeCell ref="H3:I3"/>
    <mergeCell ref="K3:L3"/>
    <mergeCell ref="N3:O3"/>
    <mergeCell ref="R3:S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1444-EA62-4A65-BF56-007241D7FCBB}">
  <dimension ref="B1:Y373"/>
  <sheetViews>
    <sheetView workbookViewId="0">
      <selection activeCell="S17" sqref="S17"/>
    </sheetView>
  </sheetViews>
  <sheetFormatPr defaultColWidth="9.109375" defaultRowHeight="12" x14ac:dyDescent="0.25"/>
  <cols>
    <col min="1" max="2" width="9.109375" style="1"/>
    <col min="3" max="4" width="9.109375" style="89"/>
    <col min="5" max="6" width="9.109375" style="1"/>
    <col min="7" max="7" width="10" style="1" customWidth="1"/>
    <col min="8" max="8" width="9.109375" style="1"/>
    <col min="9" max="9" width="9.109375" style="89"/>
    <col min="10" max="10" width="4.109375" style="1" customWidth="1"/>
    <col min="11" max="11" width="9.109375" style="1"/>
    <col min="12" max="12" width="9.109375" style="89"/>
    <col min="13" max="13" width="3.88671875" style="1" customWidth="1"/>
    <col min="14" max="14" width="11.88671875" style="1" customWidth="1"/>
    <col min="15" max="15" width="11.6640625" style="89" customWidth="1"/>
    <col min="16" max="16" width="3.6640625" style="1" customWidth="1"/>
    <col min="17" max="19" width="9.109375" style="1"/>
    <col min="20" max="20" width="3.88671875" style="1" customWidth="1"/>
    <col min="21" max="22" width="9.109375" style="1"/>
    <col min="23" max="23" width="4.109375" style="1" customWidth="1"/>
    <col min="24" max="16384" width="9.109375" style="1"/>
  </cols>
  <sheetData>
    <row r="1" spans="2:25" ht="15.6" thickTop="1" thickBot="1" x14ac:dyDescent="0.35">
      <c r="B1" s="141" t="s">
        <v>159</v>
      </c>
      <c r="C1" s="142"/>
      <c r="D1" s="142"/>
      <c r="E1" s="143"/>
      <c r="G1" s="141" t="s">
        <v>160</v>
      </c>
      <c r="H1" s="142"/>
      <c r="I1" s="142"/>
      <c r="J1" s="142"/>
      <c r="K1" s="142"/>
      <c r="L1" s="142"/>
      <c r="M1" s="142"/>
      <c r="N1" s="142"/>
      <c r="O1" s="143"/>
      <c r="Q1" s="141" t="s">
        <v>158</v>
      </c>
      <c r="R1" s="142"/>
      <c r="S1" s="142"/>
      <c r="T1" s="142"/>
      <c r="U1" s="142"/>
      <c r="V1" s="142"/>
      <c r="W1" s="142"/>
      <c r="X1" s="142"/>
      <c r="Y1" s="143"/>
    </row>
    <row r="2" spans="2:25" ht="15" thickTop="1" x14ac:dyDescent="0.3">
      <c r="G2" s="40"/>
      <c r="H2" s="144" t="s">
        <v>47</v>
      </c>
      <c r="I2" s="145"/>
      <c r="J2" s="145"/>
      <c r="K2" s="145"/>
      <c r="L2" s="145"/>
      <c r="M2" s="145"/>
      <c r="N2" s="146"/>
      <c r="O2" s="147"/>
      <c r="Q2" s="40"/>
      <c r="R2" s="145" t="s">
        <v>47</v>
      </c>
      <c r="S2" s="145"/>
      <c r="T2" s="145"/>
      <c r="U2" s="145"/>
      <c r="V2" s="145"/>
      <c r="W2" s="145"/>
      <c r="X2" s="145"/>
      <c r="Y2" s="148"/>
    </row>
    <row r="3" spans="2:25" ht="14.4" x14ac:dyDescent="0.25">
      <c r="G3" s="42"/>
      <c r="H3" s="158" t="s">
        <v>41</v>
      </c>
      <c r="I3" s="159"/>
      <c r="K3" s="160" t="s">
        <v>42</v>
      </c>
      <c r="L3" s="159"/>
      <c r="N3" s="161" t="s">
        <v>43</v>
      </c>
      <c r="O3" s="162"/>
      <c r="Q3" s="41"/>
      <c r="R3" s="149" t="s">
        <v>33</v>
      </c>
      <c r="S3" s="150"/>
      <c r="U3" s="149" t="s">
        <v>34</v>
      </c>
      <c r="V3" s="150"/>
      <c r="X3" s="149" t="s">
        <v>35</v>
      </c>
      <c r="Y3" s="150"/>
    </row>
    <row r="4" spans="2:25" x14ac:dyDescent="0.25">
      <c r="B4" s="39" t="s">
        <v>0</v>
      </c>
      <c r="C4" s="36" t="s">
        <v>33</v>
      </c>
      <c r="D4" s="36" t="s">
        <v>34</v>
      </c>
      <c r="E4" s="35" t="s">
        <v>35</v>
      </c>
      <c r="G4" s="48" t="s">
        <v>1</v>
      </c>
      <c r="H4" s="49" t="s">
        <v>2</v>
      </c>
      <c r="I4" s="102">
        <v>-5.1681699999999999</v>
      </c>
      <c r="K4" s="51" t="s">
        <v>27</v>
      </c>
      <c r="L4" s="102">
        <v>-2.2968099999999998</v>
      </c>
      <c r="N4" s="51" t="s">
        <v>31</v>
      </c>
      <c r="O4" s="102">
        <v>1.2172000000000001</v>
      </c>
      <c r="Q4" s="41" t="s">
        <v>1</v>
      </c>
      <c r="R4" s="43" t="s">
        <v>8</v>
      </c>
      <c r="S4" s="44">
        <v>0.16445799999999999</v>
      </c>
      <c r="T4" s="45"/>
      <c r="U4" s="46" t="s">
        <v>14</v>
      </c>
      <c r="V4" s="44">
        <v>0.40064699999999998</v>
      </c>
      <c r="W4" s="2"/>
      <c r="X4" s="43" t="s">
        <v>20</v>
      </c>
      <c r="Y4" s="47">
        <v>0</v>
      </c>
    </row>
    <row r="5" spans="2:25" x14ac:dyDescent="0.25">
      <c r="B5" s="35">
        <v>3</v>
      </c>
      <c r="C5" s="36">
        <v>-0.67788817300000004</v>
      </c>
      <c r="D5" s="36">
        <v>0.59227506649999995</v>
      </c>
      <c r="E5" s="35">
        <v>0</v>
      </c>
      <c r="G5" s="48" t="s">
        <v>49</v>
      </c>
      <c r="H5" s="49" t="s">
        <v>3</v>
      </c>
      <c r="I5" s="102">
        <v>1.40662</v>
      </c>
      <c r="K5" s="52"/>
      <c r="L5" s="116"/>
      <c r="N5" s="51"/>
      <c r="O5" s="102"/>
      <c r="Q5" s="41" t="s">
        <v>67</v>
      </c>
      <c r="R5" s="43" t="s">
        <v>9</v>
      </c>
      <c r="S5" s="50">
        <v>-0.67862599999999995</v>
      </c>
      <c r="T5" s="45"/>
      <c r="U5" s="46" t="s">
        <v>15</v>
      </c>
      <c r="V5" s="44">
        <v>-4.6577999999999999</v>
      </c>
      <c r="X5" s="43" t="s">
        <v>21</v>
      </c>
      <c r="Y5" s="47">
        <v>0</v>
      </c>
    </row>
    <row r="6" spans="2:25" ht="13.8" x14ac:dyDescent="0.25">
      <c r="B6" s="35">
        <v>3.25</v>
      </c>
      <c r="C6" s="36">
        <v>-0.661443267</v>
      </c>
      <c r="D6" s="36">
        <v>0.56626241600000005</v>
      </c>
      <c r="E6" s="35">
        <v>0</v>
      </c>
      <c r="G6" s="48" t="s">
        <v>48</v>
      </c>
      <c r="H6" s="49" t="s">
        <v>4</v>
      </c>
      <c r="I6" s="102">
        <v>-0.26174999999999998</v>
      </c>
      <c r="K6" s="51" t="s">
        <v>28</v>
      </c>
      <c r="L6" s="102">
        <v>0.28466000000000002</v>
      </c>
      <c r="N6" s="51" t="s">
        <v>32</v>
      </c>
      <c r="O6" s="102">
        <v>-0.17810000000000001</v>
      </c>
      <c r="Q6" s="41" t="s">
        <v>68</v>
      </c>
      <c r="R6" s="43" t="s">
        <v>10</v>
      </c>
      <c r="S6" s="44">
        <v>6.8872119999999999</v>
      </c>
      <c r="T6" s="45"/>
      <c r="U6" s="46" t="s">
        <v>16</v>
      </c>
      <c r="V6" s="44">
        <v>13.886088000000001</v>
      </c>
      <c r="X6" s="43" t="s">
        <v>22</v>
      </c>
      <c r="Y6" s="47">
        <v>0</v>
      </c>
    </row>
    <row r="7" spans="2:25" ht="13.8" x14ac:dyDescent="0.25">
      <c r="B7" s="35">
        <v>3.5</v>
      </c>
      <c r="C7" s="36">
        <v>-0.64664104600000005</v>
      </c>
      <c r="D7" s="36">
        <v>0.5420640833</v>
      </c>
      <c r="E7" s="35">
        <v>0</v>
      </c>
      <c r="G7" s="48" t="s">
        <v>50</v>
      </c>
      <c r="H7" s="49" t="s">
        <v>5</v>
      </c>
      <c r="I7" s="102">
        <v>-0.12441000000000001</v>
      </c>
      <c r="K7" s="51" t="s">
        <v>29</v>
      </c>
      <c r="L7" s="102">
        <v>0.18694</v>
      </c>
      <c r="N7" s="51" t="s">
        <v>26</v>
      </c>
      <c r="O7" s="103" t="s">
        <v>35</v>
      </c>
      <c r="Q7" s="41" t="s">
        <v>69</v>
      </c>
      <c r="R7" s="43" t="s">
        <v>11</v>
      </c>
      <c r="S7" s="44">
        <v>-20.528673999999999</v>
      </c>
      <c r="T7" s="45"/>
      <c r="U7" s="46" t="s">
        <v>17</v>
      </c>
      <c r="V7" s="44">
        <v>-16.739455</v>
      </c>
      <c r="X7" s="43" t="s">
        <v>23</v>
      </c>
      <c r="Y7" s="47">
        <v>0</v>
      </c>
    </row>
    <row r="8" spans="2:25" ht="13.8" x14ac:dyDescent="0.25">
      <c r="B8" s="35">
        <v>3.75</v>
      </c>
      <c r="C8" s="36">
        <v>-0.63333921500000001</v>
      </c>
      <c r="D8" s="36">
        <v>0.51938096509999998</v>
      </c>
      <c r="E8" s="35">
        <v>0</v>
      </c>
      <c r="G8" s="48" t="s">
        <v>51</v>
      </c>
      <c r="H8" s="49" t="s">
        <v>6</v>
      </c>
      <c r="I8" s="102">
        <v>-7.9880000000000007E-2</v>
      </c>
      <c r="K8" s="51" t="s">
        <v>30</v>
      </c>
      <c r="L8" s="102">
        <v>-1.141E-2</v>
      </c>
      <c r="N8" s="51"/>
      <c r="O8" s="88"/>
      <c r="Q8" s="41" t="s">
        <v>70</v>
      </c>
      <c r="R8" s="43" t="s">
        <v>12</v>
      </c>
      <c r="S8" s="44">
        <v>20.235572999999999</v>
      </c>
      <c r="T8" s="45"/>
      <c r="U8" s="46" t="s">
        <v>18</v>
      </c>
      <c r="V8" s="44">
        <v>9.6818939999999998</v>
      </c>
      <c r="X8" s="43" t="s">
        <v>24</v>
      </c>
      <c r="Y8" s="47">
        <v>0</v>
      </c>
    </row>
    <row r="9" spans="2:25" ht="13.8" x14ac:dyDescent="0.25">
      <c r="B9" s="35">
        <v>4</v>
      </c>
      <c r="C9" s="36">
        <v>-0.62129145100000005</v>
      </c>
      <c r="D9" s="36">
        <v>0.4979471292</v>
      </c>
      <c r="E9" s="35">
        <v>0</v>
      </c>
      <c r="G9" s="48" t="s">
        <v>52</v>
      </c>
      <c r="H9" s="49" t="s">
        <v>38</v>
      </c>
      <c r="I9" s="102">
        <v>-3.9759999999999997E-2</v>
      </c>
      <c r="K9" s="51" t="s">
        <v>44</v>
      </c>
      <c r="L9" s="102">
        <v>-4.7309999999999998E-2</v>
      </c>
      <c r="N9" s="51"/>
      <c r="O9" s="88"/>
      <c r="Q9" s="41" t="s">
        <v>71</v>
      </c>
      <c r="R9" s="43" t="s">
        <v>13</v>
      </c>
      <c r="S9" s="44">
        <v>-6.7521829999999996</v>
      </c>
      <c r="T9" s="45"/>
      <c r="U9" s="46" t="s">
        <v>19</v>
      </c>
      <c r="V9" s="44">
        <v>-2.2106880000000002</v>
      </c>
      <c r="X9" s="43" t="s">
        <v>25</v>
      </c>
      <c r="Y9" s="47">
        <v>0</v>
      </c>
    </row>
    <row r="10" spans="2:25" ht="13.8" x14ac:dyDescent="0.25">
      <c r="B10" s="35">
        <v>4.25</v>
      </c>
      <c r="C10" s="36">
        <v>-0.61027930200000002</v>
      </c>
      <c r="D10" s="36">
        <v>0.47755061370000002</v>
      </c>
      <c r="E10" s="35">
        <v>0</v>
      </c>
      <c r="G10" s="132" t="s">
        <v>171</v>
      </c>
      <c r="H10" s="51" t="s">
        <v>169</v>
      </c>
      <c r="I10" s="88">
        <v>-5.3100000000000001E-2</v>
      </c>
      <c r="K10" s="51" t="s">
        <v>170</v>
      </c>
      <c r="L10" s="88">
        <v>5.7000000000000002E-3</v>
      </c>
      <c r="N10" s="51"/>
      <c r="O10" s="88"/>
      <c r="Q10" s="41" t="s">
        <v>72</v>
      </c>
      <c r="R10" s="43"/>
      <c r="S10" s="53"/>
      <c r="U10" s="43"/>
      <c r="V10" s="54"/>
      <c r="X10" s="43" t="s">
        <v>39</v>
      </c>
      <c r="Y10" s="55">
        <v>0</v>
      </c>
    </row>
    <row r="11" spans="2:25" ht="13.8" x14ac:dyDescent="0.25">
      <c r="B11" s="35">
        <v>4.5</v>
      </c>
      <c r="C11" s="36">
        <v>-0.60005935700000002</v>
      </c>
      <c r="D11" s="36">
        <v>0.45802319759999999</v>
      </c>
      <c r="E11" s="35">
        <v>0</v>
      </c>
      <c r="G11" s="56"/>
      <c r="H11" s="57"/>
      <c r="I11" s="95" t="s">
        <v>33</v>
      </c>
      <c r="K11" s="59"/>
      <c r="L11" s="95" t="s">
        <v>34</v>
      </c>
      <c r="N11" s="59"/>
      <c r="O11" s="104"/>
      <c r="Q11" s="64" t="s">
        <v>133</v>
      </c>
      <c r="R11" s="61"/>
      <c r="S11" s="62"/>
      <c r="U11" s="61"/>
      <c r="V11" s="62"/>
      <c r="X11" s="61" t="s">
        <v>40</v>
      </c>
      <c r="Y11" s="63">
        <v>0</v>
      </c>
    </row>
    <row r="12" spans="2:25" x14ac:dyDescent="0.25">
      <c r="B12" s="35">
        <v>4.75</v>
      </c>
      <c r="C12" s="36">
        <v>-0.59028797600000005</v>
      </c>
      <c r="D12" s="36">
        <v>0.4392252378</v>
      </c>
      <c r="E12" s="35">
        <v>0</v>
      </c>
    </row>
    <row r="13" spans="2:25" x14ac:dyDescent="0.25">
      <c r="B13" s="35">
        <v>5</v>
      </c>
      <c r="C13" s="36">
        <v>-0.58069100100000004</v>
      </c>
      <c r="D13" s="36">
        <v>0.42104516619999999</v>
      </c>
      <c r="E13" s="35">
        <v>0</v>
      </c>
    </row>
    <row r="14" spans="2:25" x14ac:dyDescent="0.25">
      <c r="B14" s="35">
        <v>5.25</v>
      </c>
      <c r="C14" s="36">
        <v>-0.57105153900000005</v>
      </c>
      <c r="D14" s="36">
        <v>0.40339567790000003</v>
      </c>
      <c r="E14" s="35">
        <v>0</v>
      </c>
      <c r="G14" s="2" t="s">
        <v>147</v>
      </c>
      <c r="H14" s="7"/>
    </row>
    <row r="15" spans="2:25" x14ac:dyDescent="0.25">
      <c r="B15" s="35">
        <v>5.5</v>
      </c>
      <c r="C15" s="36">
        <v>-0.56108417300000002</v>
      </c>
      <c r="D15" s="36">
        <v>0.38622209390000001</v>
      </c>
      <c r="E15" s="35">
        <v>0</v>
      </c>
      <c r="G15" s="1" t="s">
        <v>74</v>
      </c>
    </row>
    <row r="16" spans="2:25" x14ac:dyDescent="0.25">
      <c r="B16" s="35">
        <v>5.75</v>
      </c>
      <c r="C16" s="36">
        <v>-0.55051864299999997</v>
      </c>
      <c r="D16" s="36">
        <v>0.36948619030000002</v>
      </c>
      <c r="E16" s="35">
        <v>0</v>
      </c>
      <c r="G16" s="1" t="s">
        <v>73</v>
      </c>
      <c r="T16" s="12"/>
    </row>
    <row r="17" spans="2:20" ht="13.8" x14ac:dyDescent="0.25">
      <c r="B17" s="35">
        <v>6</v>
      </c>
      <c r="C17" s="36">
        <v>-0.53915727300000005</v>
      </c>
      <c r="D17" s="36">
        <v>0.35315479119999998</v>
      </c>
      <c r="E17" s="35">
        <v>0</v>
      </c>
      <c r="G17" s="1" t="s">
        <v>37</v>
      </c>
      <c r="N17" s="12"/>
      <c r="T17" s="12"/>
    </row>
    <row r="18" spans="2:20" x14ac:dyDescent="0.25">
      <c r="B18" s="35">
        <v>6.25</v>
      </c>
      <c r="C18" s="36">
        <v>-0.52686247600000002</v>
      </c>
      <c r="D18" s="36">
        <v>0.33719938789999998</v>
      </c>
      <c r="E18" s="35">
        <v>0</v>
      </c>
      <c r="N18" s="12"/>
      <c r="T18" s="12"/>
    </row>
    <row r="19" spans="2:20" x14ac:dyDescent="0.25">
      <c r="B19" s="35">
        <v>6.5</v>
      </c>
      <c r="C19" s="36">
        <v>-0.51359727300000002</v>
      </c>
      <c r="D19" s="36">
        <v>0.3216020732</v>
      </c>
      <c r="E19" s="35">
        <v>0</v>
      </c>
      <c r="G19" s="1" t="s">
        <v>82</v>
      </c>
      <c r="M19" s="12"/>
      <c r="N19" s="12"/>
      <c r="T19" s="12"/>
    </row>
    <row r="20" spans="2:20" x14ac:dyDescent="0.25">
      <c r="B20" s="35">
        <v>6.75</v>
      </c>
      <c r="C20" s="36">
        <v>-0.49938401199999999</v>
      </c>
      <c r="D20" s="36">
        <v>0.30635114299999999</v>
      </c>
      <c r="E20" s="35">
        <v>0</v>
      </c>
      <c r="G20" s="1" t="s">
        <v>81</v>
      </c>
      <c r="M20" s="12"/>
      <c r="N20" s="12"/>
      <c r="T20" s="12"/>
    </row>
    <row r="21" spans="2:20" x14ac:dyDescent="0.25">
      <c r="B21" s="35">
        <v>7</v>
      </c>
      <c r="C21" s="36">
        <v>-0.48425079999999998</v>
      </c>
      <c r="D21" s="36">
        <v>0.29143499430000003</v>
      </c>
      <c r="E21" s="35">
        <v>0</v>
      </c>
      <c r="G21" s="1" t="s">
        <v>75</v>
      </c>
      <c r="H21" s="1" t="s">
        <v>76</v>
      </c>
      <c r="M21" s="12"/>
      <c r="N21" s="12"/>
    </row>
    <row r="22" spans="2:20" x14ac:dyDescent="0.25">
      <c r="B22" s="35">
        <v>7.25</v>
      </c>
      <c r="C22" s="36">
        <v>-0.46822873799999998</v>
      </c>
      <c r="D22" s="36">
        <v>0.27684214109999999</v>
      </c>
      <c r="E22" s="35">
        <v>0</v>
      </c>
      <c r="G22" s="1" t="s">
        <v>77</v>
      </c>
      <c r="H22" s="1" t="s">
        <v>78</v>
      </c>
      <c r="M22" s="12"/>
    </row>
    <row r="23" spans="2:20" x14ac:dyDescent="0.25">
      <c r="B23" s="35">
        <v>7.5</v>
      </c>
      <c r="C23" s="36">
        <v>-0.45135446200000001</v>
      </c>
      <c r="D23" s="36">
        <v>0.26256204929999999</v>
      </c>
      <c r="E23" s="35">
        <v>0</v>
      </c>
      <c r="G23" s="1" t="s">
        <v>79</v>
      </c>
      <c r="H23" s="1" t="s">
        <v>80</v>
      </c>
      <c r="M23" s="12"/>
    </row>
    <row r="24" spans="2:20" x14ac:dyDescent="0.25">
      <c r="B24" s="35">
        <v>7.75</v>
      </c>
      <c r="C24" s="36">
        <v>-0.43370887800000002</v>
      </c>
      <c r="D24" s="36">
        <v>0.24859293969999999</v>
      </c>
      <c r="E24" s="35">
        <v>0</v>
      </c>
      <c r="G24" s="1" t="s">
        <v>171</v>
      </c>
      <c r="H24" s="1" t="s">
        <v>172</v>
      </c>
    </row>
    <row r="25" spans="2:20" x14ac:dyDescent="0.25">
      <c r="B25" s="35">
        <v>8</v>
      </c>
      <c r="C25" s="36">
        <v>-0.41539263900000001</v>
      </c>
      <c r="D25" s="36">
        <v>0.23493717659999999</v>
      </c>
      <c r="E25" s="35">
        <v>0</v>
      </c>
    </row>
    <row r="26" spans="2:20" x14ac:dyDescent="0.25">
      <c r="B26" s="35">
        <v>8.25</v>
      </c>
      <c r="C26" s="36">
        <v>-0.396494177</v>
      </c>
      <c r="D26" s="36">
        <v>0.22159515199999999</v>
      </c>
      <c r="E26" s="35">
        <v>0</v>
      </c>
      <c r="G26" s="11" t="s">
        <v>166</v>
      </c>
    </row>
    <row r="27" spans="2:20" x14ac:dyDescent="0.25">
      <c r="B27" s="35">
        <v>8.5</v>
      </c>
      <c r="C27" s="36">
        <v>-0.37709093999999999</v>
      </c>
      <c r="D27" s="36">
        <v>0.2085656088</v>
      </c>
      <c r="E27" s="35">
        <v>0</v>
      </c>
      <c r="G27" s="9" t="s">
        <v>152</v>
      </c>
    </row>
    <row r="28" spans="2:20" x14ac:dyDescent="0.25">
      <c r="B28" s="35">
        <v>8.75</v>
      </c>
      <c r="C28" s="36">
        <v>-0.35725095000000001</v>
      </c>
      <c r="D28" s="36">
        <v>0.1958459967</v>
      </c>
      <c r="E28" s="35">
        <v>0</v>
      </c>
      <c r="G28" s="9"/>
    </row>
    <row r="29" spans="2:20" x14ac:dyDescent="0.25">
      <c r="B29" s="35">
        <v>9</v>
      </c>
      <c r="C29" s="36">
        <v>-0.33703856199999999</v>
      </c>
      <c r="D29" s="36">
        <v>0.18343370740000001</v>
      </c>
      <c r="E29" s="35">
        <v>0</v>
      </c>
      <c r="G29" s="60" t="s">
        <v>54</v>
      </c>
    </row>
    <row r="30" spans="2:20" x14ac:dyDescent="0.25">
      <c r="B30" s="35">
        <v>9.25</v>
      </c>
      <c r="C30" s="36">
        <v>-0.31656014799999999</v>
      </c>
      <c r="D30" s="36">
        <v>0.17133580509999999</v>
      </c>
      <c r="E30" s="35">
        <v>0</v>
      </c>
      <c r="F30" s="7"/>
      <c r="G30" s="10" t="s">
        <v>175</v>
      </c>
    </row>
    <row r="31" spans="2:20" ht="12" customHeight="1" x14ac:dyDescent="0.25">
      <c r="B31" s="35">
        <v>9.5</v>
      </c>
      <c r="C31" s="36">
        <v>-0.29593832799999997</v>
      </c>
      <c r="D31" s="36">
        <v>0.1595635208</v>
      </c>
      <c r="E31" s="35">
        <v>0</v>
      </c>
      <c r="F31" s="22"/>
      <c r="G31" s="10" t="s">
        <v>53</v>
      </c>
    </row>
    <row r="32" spans="2:20" x14ac:dyDescent="0.25">
      <c r="B32" s="35">
        <v>9.75</v>
      </c>
      <c r="C32" s="36">
        <v>-0.27527889799999999</v>
      </c>
      <c r="D32" s="36">
        <v>0.14812518820000001</v>
      </c>
      <c r="E32" s="35">
        <v>0</v>
      </c>
      <c r="F32" s="22"/>
      <c r="G32" s="1" t="s">
        <v>55</v>
      </c>
    </row>
    <row r="33" spans="2:6" x14ac:dyDescent="0.25">
      <c r="B33" s="35">
        <v>10</v>
      </c>
      <c r="C33" s="36">
        <v>-0.25467270800000003</v>
      </c>
      <c r="D33" s="36">
        <v>0.13702661990000001</v>
      </c>
      <c r="E33" s="35">
        <v>0</v>
      </c>
      <c r="F33" s="22"/>
    </row>
    <row r="34" spans="2:6" x14ac:dyDescent="0.25">
      <c r="B34" s="35">
        <v>10.25</v>
      </c>
      <c r="C34" s="36">
        <v>-0.23419773999999999</v>
      </c>
      <c r="D34" s="36">
        <v>0.12627152480000001</v>
      </c>
      <c r="E34" s="35">
        <v>0</v>
      </c>
      <c r="F34" s="22"/>
    </row>
    <row r="35" spans="2:6" x14ac:dyDescent="0.25">
      <c r="B35" s="35">
        <v>10.5</v>
      </c>
      <c r="C35" s="36">
        <v>-0.21392087500000001</v>
      </c>
      <c r="D35" s="36">
        <v>0.115861857</v>
      </c>
      <c r="E35" s="35">
        <v>0</v>
      </c>
      <c r="F35" s="22"/>
    </row>
    <row r="36" spans="2:6" x14ac:dyDescent="0.25">
      <c r="B36" s="35">
        <v>10.75</v>
      </c>
      <c r="C36" s="36">
        <v>-0.19390009899999999</v>
      </c>
      <c r="D36" s="36">
        <v>0.105797977</v>
      </c>
      <c r="E36" s="35">
        <v>0</v>
      </c>
      <c r="F36" s="22"/>
    </row>
    <row r="37" spans="2:6" x14ac:dyDescent="0.25">
      <c r="B37" s="35">
        <v>11</v>
      </c>
      <c r="C37" s="36">
        <v>-0.17420380999999999</v>
      </c>
      <c r="D37" s="36">
        <v>9.60755685E-2</v>
      </c>
      <c r="E37" s="35">
        <v>0</v>
      </c>
      <c r="F37" s="22"/>
    </row>
    <row r="38" spans="2:6" x14ac:dyDescent="0.25">
      <c r="B38" s="35">
        <v>11.25</v>
      </c>
      <c r="C38" s="36">
        <v>-0.154910562</v>
      </c>
      <c r="D38" s="36">
        <v>8.6686095599999999E-2</v>
      </c>
      <c r="E38" s="35">
        <v>0</v>
      </c>
      <c r="F38" s="22"/>
    </row>
    <row r="39" spans="2:6" x14ac:dyDescent="0.25">
      <c r="B39" s="35">
        <v>11.5</v>
      </c>
      <c r="C39" s="36">
        <v>-0.13608872999999999</v>
      </c>
      <c r="D39" s="36">
        <v>7.7620907200000006E-2</v>
      </c>
      <c r="E39" s="35">
        <v>0</v>
      </c>
      <c r="F39" s="7"/>
    </row>
    <row r="40" spans="2:6" x14ac:dyDescent="0.25">
      <c r="B40" s="35">
        <v>11.75</v>
      </c>
      <c r="C40" s="36">
        <v>-0.117796817</v>
      </c>
      <c r="D40" s="36">
        <v>6.8871477299999997E-2</v>
      </c>
      <c r="E40" s="35">
        <v>0</v>
      </c>
      <c r="F40" s="7"/>
    </row>
    <row r="41" spans="2:6" x14ac:dyDescent="0.25">
      <c r="B41" s="35">
        <v>12</v>
      </c>
      <c r="C41" s="36">
        <v>-0.100084706</v>
      </c>
      <c r="D41" s="36">
        <v>6.0429429200000002E-2</v>
      </c>
      <c r="E41" s="35">
        <v>0</v>
      </c>
      <c r="F41" s="22"/>
    </row>
    <row r="42" spans="2:6" x14ac:dyDescent="0.25">
      <c r="B42" s="35">
        <v>12.25</v>
      </c>
      <c r="C42" s="36">
        <v>-8.2994734000000001E-2</v>
      </c>
      <c r="D42" s="36">
        <v>5.2286553100000001E-2</v>
      </c>
      <c r="E42" s="35">
        <v>0</v>
      </c>
      <c r="F42" s="22"/>
    </row>
    <row r="43" spans="2:6" x14ac:dyDescent="0.25">
      <c r="B43" s="35">
        <v>12.5</v>
      </c>
      <c r="C43" s="36">
        <v>-6.6562631999999997E-2</v>
      </c>
      <c r="D43" s="36">
        <v>4.4434820100000001E-2</v>
      </c>
      <c r="E43" s="35">
        <v>0</v>
      </c>
      <c r="F43" s="22"/>
    </row>
    <row r="44" spans="2:6" x14ac:dyDescent="0.25">
      <c r="B44" s="35">
        <v>12.75</v>
      </c>
      <c r="C44" s="36">
        <v>-5.0818339999999997E-2</v>
      </c>
      <c r="D44" s="36">
        <v>3.6866391700000001E-2</v>
      </c>
      <c r="E44" s="35">
        <v>0</v>
      </c>
      <c r="F44" s="22"/>
    </row>
    <row r="45" spans="2:6" ht="12" customHeight="1" x14ac:dyDescent="0.25">
      <c r="B45" s="35">
        <v>13</v>
      </c>
      <c r="C45" s="36">
        <v>-3.5783802000000003E-2</v>
      </c>
      <c r="D45" s="36">
        <v>2.95733787E-2</v>
      </c>
      <c r="E45" s="35">
        <v>0</v>
      </c>
      <c r="F45" s="22"/>
    </row>
    <row r="46" spans="2:6" x14ac:dyDescent="0.25">
      <c r="B46" s="35">
        <v>13.25</v>
      </c>
      <c r="C46" s="36">
        <v>-2.1455486999999999E-2</v>
      </c>
      <c r="D46" s="36">
        <v>2.2546305700000002E-2</v>
      </c>
      <c r="E46" s="35">
        <v>0</v>
      </c>
      <c r="F46" s="22"/>
    </row>
    <row r="47" spans="2:6" x14ac:dyDescent="0.25">
      <c r="B47" s="35">
        <v>13.5</v>
      </c>
      <c r="C47" s="36">
        <v>-7.819154E-3</v>
      </c>
      <c r="D47" s="36">
        <v>1.5775323000000001E-2</v>
      </c>
      <c r="E47" s="35">
        <v>0</v>
      </c>
      <c r="F47" s="22"/>
    </row>
    <row r="48" spans="2:6" x14ac:dyDescent="0.25">
      <c r="B48" s="35">
        <v>13.75</v>
      </c>
      <c r="C48" s="36">
        <v>5.1395039999999996E-3</v>
      </c>
      <c r="D48" s="36">
        <v>9.2510717000000003E-3</v>
      </c>
      <c r="E48" s="35">
        <v>0</v>
      </c>
      <c r="F48" s="22"/>
    </row>
    <row r="49" spans="2:5" x14ac:dyDescent="0.25">
      <c r="B49" s="35">
        <v>14</v>
      </c>
      <c r="C49" s="36">
        <v>1.7434748E-2</v>
      </c>
      <c r="D49" s="36">
        <v>2.9646563000000001E-3</v>
      </c>
      <c r="E49" s="35">
        <v>0</v>
      </c>
    </row>
    <row r="50" spans="2:5" x14ac:dyDescent="0.25">
      <c r="B50" s="35">
        <v>14.25</v>
      </c>
      <c r="C50" s="36">
        <v>2.9080748999999999E-2</v>
      </c>
      <c r="D50" s="36">
        <v>-3.0923838E-3</v>
      </c>
      <c r="E50" s="35">
        <v>0</v>
      </c>
    </row>
    <row r="51" spans="2:5" x14ac:dyDescent="0.25">
      <c r="B51" s="35">
        <v>14.5</v>
      </c>
      <c r="C51" s="36">
        <v>4.0091545999999999E-2</v>
      </c>
      <c r="D51" s="36">
        <v>-8.9281017999999993E-3</v>
      </c>
      <c r="E51" s="35">
        <v>0</v>
      </c>
    </row>
    <row r="52" spans="2:5" x14ac:dyDescent="0.25">
      <c r="B52" s="35">
        <v>14.75</v>
      </c>
      <c r="C52" s="36">
        <v>5.0481017000000003E-2</v>
      </c>
      <c r="D52" s="36">
        <v>-1.45501685E-2</v>
      </c>
      <c r="E52" s="35">
        <v>0</v>
      </c>
    </row>
    <row r="53" spans="2:5" x14ac:dyDescent="0.25">
      <c r="B53" s="35">
        <v>15</v>
      </c>
      <c r="C53" s="36">
        <v>6.0262854999999997E-2</v>
      </c>
      <c r="D53" s="36">
        <v>-1.99658949E-2</v>
      </c>
      <c r="E53" s="35">
        <v>0</v>
      </c>
    </row>
    <row r="54" spans="2:5" x14ac:dyDescent="0.25">
      <c r="B54" s="35">
        <v>15.25</v>
      </c>
      <c r="C54" s="36">
        <v>6.9450539000000006E-2</v>
      </c>
      <c r="D54" s="36">
        <v>-2.5182254300000002E-2</v>
      </c>
      <c r="E54" s="35">
        <v>0</v>
      </c>
    </row>
    <row r="55" spans="2:5" x14ac:dyDescent="0.25">
      <c r="B55" s="35">
        <v>15.5</v>
      </c>
      <c r="C55" s="36">
        <v>7.8057494000000005E-2</v>
      </c>
      <c r="D55" s="36">
        <v>-3.0205898299999999E-2</v>
      </c>
      <c r="E55" s="35">
        <v>0</v>
      </c>
    </row>
    <row r="56" spans="2:5" x14ac:dyDescent="0.25">
      <c r="B56" s="35">
        <v>15.75</v>
      </c>
      <c r="C56" s="36">
        <v>8.6105166999999996E-2</v>
      </c>
      <c r="D56" s="36">
        <v>-3.5043020000000001E-2</v>
      </c>
      <c r="E56" s="35">
        <v>0</v>
      </c>
    </row>
    <row r="57" spans="2:5" x14ac:dyDescent="0.25">
      <c r="B57" s="35">
        <v>16</v>
      </c>
      <c r="C57" s="36">
        <v>9.3625776999999993E-2</v>
      </c>
      <c r="D57" s="36">
        <v>-3.9699317400000003E-2</v>
      </c>
      <c r="E57" s="35">
        <v>0</v>
      </c>
    </row>
    <row r="58" spans="2:5" x14ac:dyDescent="0.25">
      <c r="B58" s="35">
        <v>16.25</v>
      </c>
      <c r="C58" s="36">
        <v>0.100650382</v>
      </c>
      <c r="D58" s="36">
        <v>-4.4180239400000001E-2</v>
      </c>
      <c r="E58" s="35">
        <v>0</v>
      </c>
    </row>
    <row r="59" spans="2:5" x14ac:dyDescent="0.25">
      <c r="B59" s="35">
        <v>16.5</v>
      </c>
      <c r="C59" s="36">
        <v>0.107208046</v>
      </c>
      <c r="D59" s="36">
        <v>-4.8491016999999997E-2</v>
      </c>
      <c r="E59" s="35">
        <v>0</v>
      </c>
    </row>
    <row r="60" spans="2:5" x14ac:dyDescent="0.25">
      <c r="B60" s="35">
        <v>16.75</v>
      </c>
      <c r="C60" s="36">
        <v>0.11332598300000001</v>
      </c>
      <c r="D60" s="36">
        <v>-5.2636673600000003E-2</v>
      </c>
      <c r="E60" s="35">
        <v>0</v>
      </c>
    </row>
    <row r="61" spans="2:5" x14ac:dyDescent="0.25">
      <c r="B61" s="35">
        <v>17</v>
      </c>
      <c r="C61" s="36">
        <v>0.119029697</v>
      </c>
      <c r="D61" s="36">
        <v>-5.6622035600000002E-2</v>
      </c>
      <c r="E61" s="35">
        <v>0</v>
      </c>
    </row>
    <row r="62" spans="2:5" x14ac:dyDescent="0.25">
      <c r="B62" s="35">
        <v>17.25</v>
      </c>
      <c r="C62" s="36">
        <v>0.12434310599999999</v>
      </c>
      <c r="D62" s="36">
        <v>-6.04517423E-2</v>
      </c>
      <c r="E62" s="35">
        <v>0</v>
      </c>
    </row>
    <row r="63" spans="2:5" x14ac:dyDescent="0.25">
      <c r="B63" s="35">
        <v>17.5</v>
      </c>
      <c r="C63" s="36">
        <v>0.129288657</v>
      </c>
      <c r="D63" s="36">
        <v>-6.41302547E-2</v>
      </c>
      <c r="E63" s="35">
        <v>0</v>
      </c>
    </row>
    <row r="64" spans="2:5" x14ac:dyDescent="0.25">
      <c r="B64" s="35">
        <v>17.75</v>
      </c>
      <c r="C64" s="36">
        <v>0.13388743</v>
      </c>
      <c r="D64" s="36">
        <v>-6.7661864299999999E-2</v>
      </c>
      <c r="E64" s="35">
        <v>0</v>
      </c>
    </row>
    <row r="65" spans="2:5" x14ac:dyDescent="0.25">
      <c r="B65" s="35">
        <v>18</v>
      </c>
      <c r="C65" s="36">
        <v>0.13815923399999999</v>
      </c>
      <c r="D65" s="36">
        <v>-7.1050700999999994E-2</v>
      </c>
      <c r="E65" s="35">
        <v>0</v>
      </c>
    </row>
    <row r="66" spans="2:5" x14ac:dyDescent="0.25">
      <c r="B66" s="35">
        <v>18.25</v>
      </c>
      <c r="C66" s="36">
        <v>0.14212269599999999</v>
      </c>
      <c r="D66" s="36">
        <v>-7.4300740800000001E-2</v>
      </c>
      <c r="E66" s="35">
        <v>0</v>
      </c>
    </row>
    <row r="67" spans="2:5" x14ac:dyDescent="0.25">
      <c r="B67" s="35">
        <v>18.5</v>
      </c>
      <c r="C67" s="36">
        <v>0.14579534499999999</v>
      </c>
      <c r="D67" s="36">
        <v>-7.7415813299999997E-2</v>
      </c>
      <c r="E67" s="35">
        <v>0</v>
      </c>
    </row>
    <row r="68" spans="2:5" x14ac:dyDescent="0.25">
      <c r="B68" s="35">
        <v>18.75</v>
      </c>
      <c r="C68" s="36">
        <v>0.14919374599999999</v>
      </c>
      <c r="D68" s="36">
        <v>-8.0399662699999999E-2</v>
      </c>
      <c r="E68" s="35">
        <v>0</v>
      </c>
    </row>
    <row r="69" spans="2:5" x14ac:dyDescent="0.25">
      <c r="B69" s="35">
        <v>19</v>
      </c>
      <c r="C69" s="36">
        <v>0.152334</v>
      </c>
      <c r="D69" s="36">
        <v>-8.3256304000000003E-2</v>
      </c>
      <c r="E69" s="35">
        <v>0</v>
      </c>
    </row>
    <row r="70" spans="2:5" x14ac:dyDescent="0.25">
      <c r="B70" s="35">
        <v>19.25</v>
      </c>
      <c r="C70" s="36">
        <v>0.155231495</v>
      </c>
      <c r="D70" s="36">
        <v>-8.59897736E-2</v>
      </c>
      <c r="E70" s="35">
        <v>0</v>
      </c>
    </row>
    <row r="71" spans="2:5" x14ac:dyDescent="0.25">
      <c r="B71" s="35">
        <v>19.5</v>
      </c>
      <c r="C71" s="36">
        <v>0.15790072799999999</v>
      </c>
      <c r="D71" s="36">
        <v>-8.8603939699999995E-2</v>
      </c>
      <c r="E71" s="35">
        <v>0</v>
      </c>
    </row>
    <row r="72" spans="2:5" x14ac:dyDescent="0.25">
      <c r="B72" s="35">
        <v>19.75</v>
      </c>
      <c r="C72" s="36">
        <v>0.160355361</v>
      </c>
      <c r="D72" s="36">
        <v>-9.1102510400000003E-2</v>
      </c>
      <c r="E72" s="35">
        <v>0</v>
      </c>
    </row>
    <row r="73" spans="2:5" x14ac:dyDescent="0.25">
      <c r="B73" s="35">
        <v>20</v>
      </c>
      <c r="C73" s="36">
        <v>0.16260827799999999</v>
      </c>
      <c r="D73" s="36">
        <v>-9.3489042199999997E-2</v>
      </c>
      <c r="E73" s="35">
        <v>0</v>
      </c>
    </row>
    <row r="74" spans="2:5" x14ac:dyDescent="0.25">
      <c r="B74" s="35">
        <v>20.25</v>
      </c>
      <c r="C74" s="36">
        <v>0.16467163400000001</v>
      </c>
      <c r="D74" s="36">
        <v>-9.5766947500000005E-2</v>
      </c>
      <c r="E74" s="35">
        <v>0</v>
      </c>
    </row>
    <row r="75" spans="2:5" x14ac:dyDescent="0.25">
      <c r="B75" s="35">
        <v>20.5</v>
      </c>
      <c r="C75" s="36">
        <v>0.16655690200000001</v>
      </c>
      <c r="D75" s="36">
        <v>-9.7939502400000003E-2</v>
      </c>
      <c r="E75" s="35">
        <v>0</v>
      </c>
    </row>
    <row r="76" spans="2:5" x14ac:dyDescent="0.25">
      <c r="B76" s="35">
        <v>20.75</v>
      </c>
      <c r="C76" s="36">
        <v>0.168274913</v>
      </c>
      <c r="D76" s="36">
        <v>-0.1000098532</v>
      </c>
      <c r="E76" s="35">
        <v>0</v>
      </c>
    </row>
    <row r="77" spans="2:5" x14ac:dyDescent="0.25">
      <c r="B77" s="35">
        <v>21</v>
      </c>
      <c r="C77" s="36">
        <v>0.16983590000000001</v>
      </c>
      <c r="D77" s="36">
        <v>-0.10198102320000001</v>
      </c>
      <c r="E77" s="35">
        <v>0</v>
      </c>
    </row>
    <row r="78" spans="2:5" x14ac:dyDescent="0.25">
      <c r="B78" s="35">
        <v>21.25</v>
      </c>
      <c r="C78" s="36">
        <v>0.17124953400000001</v>
      </c>
      <c r="D78" s="36">
        <v>-0.1038559186</v>
      </c>
      <c r="E78" s="35">
        <v>0</v>
      </c>
    </row>
    <row r="79" spans="2:5" x14ac:dyDescent="0.25">
      <c r="B79" s="35">
        <v>21.5</v>
      </c>
      <c r="C79" s="36">
        <v>0.17252495700000001</v>
      </c>
      <c r="D79" s="36">
        <v>-0.1056373343</v>
      </c>
      <c r="E79" s="35">
        <v>0</v>
      </c>
    </row>
    <row r="80" spans="2:5" x14ac:dyDescent="0.25">
      <c r="B80" s="35">
        <v>21.75</v>
      </c>
      <c r="C80" s="36">
        <v>0.17367081600000001</v>
      </c>
      <c r="D80" s="36">
        <v>-0.1073279593</v>
      </c>
      <c r="E80" s="35">
        <v>0</v>
      </c>
    </row>
    <row r="81" spans="2:5" x14ac:dyDescent="0.25">
      <c r="B81" s="35">
        <v>22</v>
      </c>
      <c r="C81" s="36">
        <v>0.174695289</v>
      </c>
      <c r="D81" s="36">
        <v>-0.1089303817</v>
      </c>
      <c r="E81" s="35">
        <v>0</v>
      </c>
    </row>
    <row r="82" spans="2:5" x14ac:dyDescent="0.25">
      <c r="B82" s="35">
        <v>22.25</v>
      </c>
      <c r="C82" s="36">
        <v>0.17560612</v>
      </c>
      <c r="D82" s="36">
        <v>-0.1104470936</v>
      </c>
      <c r="E82" s="35">
        <v>0</v>
      </c>
    </row>
    <row r="83" spans="2:5" x14ac:dyDescent="0.25">
      <c r="B83" s="35">
        <v>22.5</v>
      </c>
      <c r="C83" s="36">
        <v>0.17641061099999999</v>
      </c>
      <c r="D83" s="36">
        <v>-0.1118805056</v>
      </c>
      <c r="E83" s="35">
        <v>0</v>
      </c>
    </row>
    <row r="84" spans="2:5" x14ac:dyDescent="0.25">
      <c r="B84" s="35">
        <v>22.75</v>
      </c>
      <c r="C84" s="36">
        <v>0.17711536899999999</v>
      </c>
      <c r="D84" s="36">
        <v>-0.1132330579</v>
      </c>
      <c r="E84" s="35">
        <v>0</v>
      </c>
    </row>
    <row r="85" spans="2:5" x14ac:dyDescent="0.25">
      <c r="B85" s="35">
        <v>23</v>
      </c>
      <c r="C85" s="36">
        <v>0.177726463</v>
      </c>
      <c r="D85" s="36">
        <v>-0.11450717420000001</v>
      </c>
      <c r="E85" s="35">
        <v>0</v>
      </c>
    </row>
    <row r="86" spans="2:5" x14ac:dyDescent="0.25">
      <c r="B86" s="35">
        <v>23.25</v>
      </c>
      <c r="C86" s="36">
        <v>0.17824964400000001</v>
      </c>
      <c r="D86" s="36">
        <v>-0.1157051873</v>
      </c>
      <c r="E86" s="35">
        <v>0</v>
      </c>
    </row>
    <row r="87" spans="2:5" x14ac:dyDescent="0.25">
      <c r="B87" s="35">
        <v>23.5</v>
      </c>
      <c r="C87" s="36">
        <v>0.17869037099999999</v>
      </c>
      <c r="D87" s="36">
        <v>-0.1168293423</v>
      </c>
      <c r="E87" s="35">
        <v>0</v>
      </c>
    </row>
    <row r="88" spans="2:5" x14ac:dyDescent="0.25">
      <c r="B88" s="35">
        <v>23.75</v>
      </c>
      <c r="C88" s="36">
        <v>0.179053825</v>
      </c>
      <c r="D88" s="36">
        <v>-0.11788180030000001</v>
      </c>
      <c r="E88" s="35">
        <v>0</v>
      </c>
    </row>
    <row r="89" spans="2:5" x14ac:dyDescent="0.25">
      <c r="B89" s="35">
        <v>24</v>
      </c>
      <c r="C89" s="36">
        <v>0.17934492599999999</v>
      </c>
      <c r="D89" s="36">
        <v>-0.11886464250000001</v>
      </c>
      <c r="E89" s="35">
        <v>0</v>
      </c>
    </row>
    <row r="90" spans="2:5" x14ac:dyDescent="0.25">
      <c r="B90" s="35">
        <v>24.25</v>
      </c>
      <c r="C90" s="36">
        <v>0.17956834899999999</v>
      </c>
      <c r="D90" s="36">
        <v>-0.1197798742</v>
      </c>
      <c r="E90" s="35">
        <v>0</v>
      </c>
    </row>
    <row r="91" spans="2:5" x14ac:dyDescent="0.25">
      <c r="B91" s="35">
        <v>24.5</v>
      </c>
      <c r="C91" s="36">
        <v>0.17972853</v>
      </c>
      <c r="D91" s="36">
        <v>-0.1206294275</v>
      </c>
      <c r="E91" s="35">
        <v>0</v>
      </c>
    </row>
    <row r="92" spans="2:5" x14ac:dyDescent="0.25">
      <c r="B92" s="35">
        <v>24.75</v>
      </c>
      <c r="C92" s="36">
        <v>0.17982968999999999</v>
      </c>
      <c r="D92" s="36">
        <v>-0.1214151654</v>
      </c>
      <c r="E92" s="35">
        <v>0</v>
      </c>
    </row>
    <row r="93" spans="2:5" x14ac:dyDescent="0.25">
      <c r="B93" s="35">
        <v>25</v>
      </c>
      <c r="C93" s="36">
        <v>0.17987583700000001</v>
      </c>
      <c r="D93" s="36">
        <v>-0.1221388843</v>
      </c>
      <c r="E93" s="35">
        <v>0</v>
      </c>
    </row>
    <row r="94" spans="2:5" x14ac:dyDescent="0.25">
      <c r="B94" s="35">
        <v>25.25</v>
      </c>
      <c r="C94" s="36">
        <v>0.17987078400000001</v>
      </c>
      <c r="D94" s="36">
        <v>-0.12280231730000001</v>
      </c>
      <c r="E94" s="35">
        <v>0</v>
      </c>
    </row>
    <row r="95" spans="2:5" x14ac:dyDescent="0.25">
      <c r="B95" s="35">
        <v>25.5</v>
      </c>
      <c r="C95" s="36">
        <v>0.17981815500000001</v>
      </c>
      <c r="D95" s="36">
        <v>-0.1234071368</v>
      </c>
      <c r="E95" s="35">
        <v>0</v>
      </c>
    </row>
    <row r="96" spans="2:5" x14ac:dyDescent="0.25">
      <c r="B96" s="35">
        <v>25.75</v>
      </c>
      <c r="C96" s="36">
        <v>0.17972139600000001</v>
      </c>
      <c r="D96" s="36">
        <v>-0.1239549573</v>
      </c>
      <c r="E96" s="35">
        <v>0</v>
      </c>
    </row>
    <row r="97" spans="2:5" x14ac:dyDescent="0.25">
      <c r="B97" s="35">
        <v>26</v>
      </c>
      <c r="C97" s="36">
        <v>0.17958378699999999</v>
      </c>
      <c r="D97" s="36">
        <v>-0.1244473376</v>
      </c>
      <c r="E97" s="35">
        <v>0</v>
      </c>
    </row>
    <row r="98" spans="2:5" x14ac:dyDescent="0.25">
      <c r="B98" s="35">
        <v>26.25</v>
      </c>
      <c r="C98" s="36">
        <v>0.179408449</v>
      </c>
      <c r="D98" s="36">
        <v>-0.1248857835</v>
      </c>
      <c r="E98" s="35">
        <v>0</v>
      </c>
    </row>
    <row r="99" spans="2:5" x14ac:dyDescent="0.25">
      <c r="B99" s="35">
        <v>26.5</v>
      </c>
      <c r="C99" s="36">
        <v>0.17919834800000001</v>
      </c>
      <c r="D99" s="36">
        <v>-0.1252717498</v>
      </c>
      <c r="E99" s="35">
        <v>0</v>
      </c>
    </row>
    <row r="100" spans="2:5" x14ac:dyDescent="0.25">
      <c r="B100" s="35">
        <v>26.75</v>
      </c>
      <c r="C100" s="36">
        <v>0.17895631200000001</v>
      </c>
      <c r="D100" s="36">
        <v>-0.12560664269999999</v>
      </c>
      <c r="E100" s="35">
        <v>0</v>
      </c>
    </row>
    <row r="101" spans="2:5" x14ac:dyDescent="0.25">
      <c r="B101" s="35">
        <v>27</v>
      </c>
      <c r="C101" s="36">
        <v>0.17868499600000001</v>
      </c>
      <c r="D101" s="36">
        <v>-0.12589181099999999</v>
      </c>
      <c r="E101" s="35">
        <v>0</v>
      </c>
    </row>
    <row r="102" spans="2:5" x14ac:dyDescent="0.25">
      <c r="B102" s="35">
        <v>27.25</v>
      </c>
      <c r="C102" s="36">
        <v>0.17838595099999999</v>
      </c>
      <c r="D102" s="36">
        <v>-0.12612826050000001</v>
      </c>
      <c r="E102" s="35">
        <v>0</v>
      </c>
    </row>
    <row r="103" spans="2:5" x14ac:dyDescent="0.25">
      <c r="B103" s="35">
        <v>27.5</v>
      </c>
      <c r="C103" s="36">
        <v>0.178059575</v>
      </c>
      <c r="D103" s="36">
        <v>-0.1263166372</v>
      </c>
      <c r="E103" s="35">
        <v>0</v>
      </c>
    </row>
    <row r="104" spans="2:5" x14ac:dyDescent="0.25">
      <c r="B104" s="35">
        <v>27.75</v>
      </c>
      <c r="C104" s="36">
        <v>0.17770620100000001</v>
      </c>
      <c r="D104" s="36">
        <v>-0.12645756250000001</v>
      </c>
      <c r="E104" s="35">
        <v>0</v>
      </c>
    </row>
    <row r="105" spans="2:5" x14ac:dyDescent="0.25">
      <c r="B105" s="35">
        <v>28</v>
      </c>
      <c r="C105" s="36">
        <v>0.17732616000000001</v>
      </c>
      <c r="D105" s="36">
        <v>-0.12655165130000001</v>
      </c>
      <c r="E105" s="35">
        <v>0</v>
      </c>
    </row>
    <row r="106" spans="2:5" x14ac:dyDescent="0.25">
      <c r="B106" s="35">
        <v>28.25</v>
      </c>
      <c r="C106" s="36">
        <v>0.176919781</v>
      </c>
      <c r="D106" s="36">
        <v>-0.12659951189999999</v>
      </c>
      <c r="E106" s="35">
        <v>0</v>
      </c>
    </row>
    <row r="107" spans="2:5" x14ac:dyDescent="0.25">
      <c r="B107" s="35">
        <v>28.5</v>
      </c>
      <c r="C107" s="36">
        <v>0.17648738899999999</v>
      </c>
      <c r="D107" s="36">
        <v>-0.12660174590000001</v>
      </c>
      <c r="E107" s="35">
        <v>0</v>
      </c>
    </row>
    <row r="108" spans="2:5" x14ac:dyDescent="0.25">
      <c r="B108" s="35">
        <v>28.75</v>
      </c>
      <c r="C108" s="36">
        <v>0.17602930899999999</v>
      </c>
      <c r="D108" s="36">
        <v>-0.12655894840000001</v>
      </c>
      <c r="E108" s="35">
        <v>0</v>
      </c>
    </row>
    <row r="109" spans="2:5" x14ac:dyDescent="0.25">
      <c r="B109" s="35">
        <v>29</v>
      </c>
      <c r="C109" s="36">
        <v>0.175545862</v>
      </c>
      <c r="D109" s="36">
        <v>-0.12647170739999999</v>
      </c>
      <c r="E109" s="35">
        <v>0</v>
      </c>
    </row>
    <row r="110" spans="2:5" x14ac:dyDescent="0.25">
      <c r="B110" s="35">
        <v>29.25</v>
      </c>
      <c r="C110" s="36">
        <v>0.175037364</v>
      </c>
      <c r="D110" s="36">
        <v>-0.126340604</v>
      </c>
      <c r="E110" s="35">
        <v>0</v>
      </c>
    </row>
    <row r="111" spans="2:5" x14ac:dyDescent="0.25">
      <c r="B111" s="35">
        <v>29.5</v>
      </c>
      <c r="C111" s="36">
        <v>0.17450413100000001</v>
      </c>
      <c r="D111" s="36">
        <v>-0.1261662123</v>
      </c>
      <c r="E111" s="35">
        <v>0</v>
      </c>
    </row>
    <row r="112" spans="2:5" x14ac:dyDescent="0.25">
      <c r="B112" s="35">
        <v>29.75</v>
      </c>
      <c r="C112" s="36">
        <v>0.17394647399999999</v>
      </c>
      <c r="D112" s="36">
        <v>-0.12594909949999999</v>
      </c>
      <c r="E112" s="35">
        <v>0</v>
      </c>
    </row>
    <row r="113" spans="2:5" x14ac:dyDescent="0.25">
      <c r="B113" s="35">
        <v>30</v>
      </c>
      <c r="C113" s="36">
        <v>0.17336470300000001</v>
      </c>
      <c r="D113" s="36">
        <v>-0.12568982549999999</v>
      </c>
      <c r="E113" s="35">
        <v>0</v>
      </c>
    </row>
    <row r="114" spans="2:5" x14ac:dyDescent="0.25">
      <c r="B114" s="35">
        <v>30.25</v>
      </c>
      <c r="C114" s="36">
        <v>0.17275912099999999</v>
      </c>
      <c r="D114" s="36">
        <v>-0.12538894349999999</v>
      </c>
      <c r="E114" s="35">
        <v>0</v>
      </c>
    </row>
    <row r="115" spans="2:5" x14ac:dyDescent="0.25">
      <c r="B115" s="35">
        <v>30.5</v>
      </c>
      <c r="C115" s="36">
        <v>0.17213003199999999</v>
      </c>
      <c r="D115" s="36">
        <v>-0.1250469991</v>
      </c>
      <c r="E115" s="35">
        <v>0</v>
      </c>
    </row>
    <row r="116" spans="2:5" x14ac:dyDescent="0.25">
      <c r="B116" s="35">
        <v>30.75</v>
      </c>
      <c r="C116" s="36">
        <v>0.17147773399999999</v>
      </c>
      <c r="D116" s="36">
        <v>-0.1246645314</v>
      </c>
      <c r="E116" s="35">
        <v>0</v>
      </c>
    </row>
    <row r="117" spans="2:5" x14ac:dyDescent="0.25">
      <c r="B117" s="35">
        <v>31</v>
      </c>
      <c r="C117" s="36">
        <v>0.17080252300000001</v>
      </c>
      <c r="D117" s="36">
        <v>-0.124242072</v>
      </c>
      <c r="E117" s="35">
        <v>0</v>
      </c>
    </row>
    <row r="118" spans="2:5" x14ac:dyDescent="0.25">
      <c r="B118" s="35">
        <v>31.25</v>
      </c>
      <c r="C118" s="36">
        <v>0.170104689</v>
      </c>
      <c r="D118" s="36">
        <v>-0.1237801456</v>
      </c>
      <c r="E118" s="35">
        <v>0</v>
      </c>
    </row>
    <row r="119" spans="2:5" x14ac:dyDescent="0.25">
      <c r="B119" s="35">
        <v>31.5</v>
      </c>
      <c r="C119" s="36">
        <v>0.16938452300000001</v>
      </c>
      <c r="D119" s="36">
        <v>-0.1232792699</v>
      </c>
      <c r="E119" s="35">
        <v>0</v>
      </c>
    </row>
    <row r="120" spans="2:5" x14ac:dyDescent="0.25">
      <c r="B120" s="35">
        <v>31.75</v>
      </c>
      <c r="C120" s="36">
        <v>0.16864230899999999</v>
      </c>
      <c r="D120" s="36">
        <v>-0.12273995560000001</v>
      </c>
      <c r="E120" s="35">
        <v>0</v>
      </c>
    </row>
    <row r="121" spans="2:5" x14ac:dyDescent="0.25">
      <c r="B121" s="35">
        <v>32</v>
      </c>
      <c r="C121" s="36">
        <v>0.16787832999999999</v>
      </c>
      <c r="D121" s="36">
        <v>-0.1221627065</v>
      </c>
      <c r="E121" s="35">
        <v>0</v>
      </c>
    </row>
    <row r="122" spans="2:5" x14ac:dyDescent="0.25">
      <c r="B122" s="35">
        <v>32.25</v>
      </c>
      <c r="C122" s="36">
        <v>0.16709286200000001</v>
      </c>
      <c r="D122" s="36">
        <v>-0.1215480193</v>
      </c>
      <c r="E122" s="35">
        <v>0</v>
      </c>
    </row>
    <row r="123" spans="2:5" x14ac:dyDescent="0.25">
      <c r="B123" s="35">
        <v>32.5</v>
      </c>
      <c r="C123" s="36">
        <v>0.16628615399999999</v>
      </c>
      <c r="D123" s="36">
        <v>-0.1208963878</v>
      </c>
      <c r="E123" s="35">
        <v>0</v>
      </c>
    </row>
    <row r="124" spans="2:5" x14ac:dyDescent="0.25">
      <c r="B124" s="35">
        <v>32.75</v>
      </c>
      <c r="C124" s="36">
        <v>0.165457887</v>
      </c>
      <c r="D124" s="36">
        <v>-0.1202083691</v>
      </c>
      <c r="E124" s="35">
        <v>0</v>
      </c>
    </row>
    <row r="125" spans="2:5" x14ac:dyDescent="0.25">
      <c r="B125" s="35">
        <v>33</v>
      </c>
      <c r="C125" s="36">
        <v>0.16460725300000001</v>
      </c>
      <c r="D125" s="36">
        <v>-0.119484575</v>
      </c>
      <c r="E125" s="35">
        <v>0</v>
      </c>
    </row>
    <row r="126" spans="2:5" x14ac:dyDescent="0.25">
      <c r="B126" s="35">
        <v>33.25</v>
      </c>
      <c r="C126" s="36">
        <v>0.16373347099999999</v>
      </c>
      <c r="D126" s="36">
        <v>-0.11872560679999999</v>
      </c>
      <c r="E126" s="35">
        <v>0</v>
      </c>
    </row>
    <row r="127" spans="2:5" x14ac:dyDescent="0.25">
      <c r="B127" s="35">
        <v>33.5</v>
      </c>
      <c r="C127" s="36">
        <v>0.162835802</v>
      </c>
      <c r="D127" s="36">
        <v>-0.117932053</v>
      </c>
      <c r="E127" s="35">
        <v>0</v>
      </c>
    </row>
    <row r="128" spans="2:5" x14ac:dyDescent="0.25">
      <c r="B128" s="35">
        <v>33.75</v>
      </c>
      <c r="C128" s="36">
        <v>0.16191355199999999</v>
      </c>
      <c r="D128" s="36">
        <v>-0.1171044903</v>
      </c>
      <c r="E128" s="35">
        <v>0</v>
      </c>
    </row>
    <row r="129" spans="2:5" x14ac:dyDescent="0.25">
      <c r="B129" s="35">
        <v>34</v>
      </c>
      <c r="C129" s="36">
        <v>0.16096606499999999</v>
      </c>
      <c r="D129" s="36">
        <v>-0.11624348299999999</v>
      </c>
      <c r="E129" s="35">
        <v>0</v>
      </c>
    </row>
    <row r="130" spans="2:5" x14ac:dyDescent="0.25">
      <c r="B130" s="35">
        <v>34.25</v>
      </c>
      <c r="C130" s="36">
        <v>0.159992725</v>
      </c>
      <c r="D130" s="36">
        <v>-0.11534958400000001</v>
      </c>
      <c r="E130" s="35">
        <v>0</v>
      </c>
    </row>
    <row r="131" spans="2:5" x14ac:dyDescent="0.25">
      <c r="B131" s="35">
        <v>34.5</v>
      </c>
      <c r="C131" s="36">
        <v>0.15899295099999999</v>
      </c>
      <c r="D131" s="36">
        <v>-0.1144233347</v>
      </c>
      <c r="E131" s="35">
        <v>0</v>
      </c>
    </row>
    <row r="132" spans="2:5" x14ac:dyDescent="0.25">
      <c r="B132" s="35">
        <v>34.75</v>
      </c>
      <c r="C132" s="36">
        <v>0.157966198</v>
      </c>
      <c r="D132" s="36">
        <v>-0.1134652657</v>
      </c>
      <c r="E132" s="35">
        <v>0</v>
      </c>
    </row>
    <row r="133" spans="2:5" x14ac:dyDescent="0.25">
      <c r="B133" s="35">
        <v>35</v>
      </c>
      <c r="C133" s="36">
        <v>0.15691195399999999</v>
      </c>
      <c r="D133" s="36">
        <v>-0.11247589669999999</v>
      </c>
      <c r="E133" s="35">
        <v>0</v>
      </c>
    </row>
    <row r="134" spans="2:5" x14ac:dyDescent="0.25">
      <c r="B134" s="35">
        <v>35.25</v>
      </c>
      <c r="C134" s="36">
        <v>0.155829738</v>
      </c>
      <c r="D134" s="36">
        <v>-0.1114557367</v>
      </c>
      <c r="E134" s="35">
        <v>0</v>
      </c>
    </row>
    <row r="135" spans="2:5" x14ac:dyDescent="0.25">
      <c r="B135" s="35">
        <v>35.5</v>
      </c>
      <c r="C135" s="36">
        <v>0.154719101</v>
      </c>
      <c r="D135" s="36">
        <v>-0.11040528469999999</v>
      </c>
      <c r="E135" s="35">
        <v>0</v>
      </c>
    </row>
    <row r="136" spans="2:5" x14ac:dyDescent="0.25">
      <c r="B136" s="35">
        <v>35.75</v>
      </c>
      <c r="C136" s="36">
        <v>0.153579622</v>
      </c>
      <c r="D136" s="36">
        <v>-0.1093250296</v>
      </c>
      <c r="E136" s="35">
        <v>0</v>
      </c>
    </row>
    <row r="137" spans="2:5" x14ac:dyDescent="0.25">
      <c r="B137" s="35">
        <v>36</v>
      </c>
      <c r="C137" s="36">
        <v>0.15241090700000001</v>
      </c>
      <c r="D137" s="36">
        <v>-0.1082154508</v>
      </c>
      <c r="E137" s="35">
        <v>0</v>
      </c>
    </row>
    <row r="138" spans="2:5" x14ac:dyDescent="0.25">
      <c r="B138" s="35">
        <v>36.25</v>
      </c>
      <c r="C138" s="36">
        <v>0.15121258800000001</v>
      </c>
      <c r="D138" s="36">
        <v>-0.1070770179</v>
      </c>
      <c r="E138" s="35">
        <v>0</v>
      </c>
    </row>
    <row r="139" spans="2:5" x14ac:dyDescent="0.25">
      <c r="B139" s="35">
        <v>36.5</v>
      </c>
      <c r="C139" s="36">
        <v>0.149984325</v>
      </c>
      <c r="D139" s="36">
        <v>-0.1059101913</v>
      </c>
      <c r="E139" s="35">
        <v>0</v>
      </c>
    </row>
    <row r="140" spans="2:5" x14ac:dyDescent="0.25">
      <c r="B140" s="35">
        <v>36.75</v>
      </c>
      <c r="C140" s="36">
        <v>0.14872579899999999</v>
      </c>
      <c r="D140" s="36">
        <v>-0.1047154226</v>
      </c>
      <c r="E140" s="35">
        <v>0</v>
      </c>
    </row>
    <row r="141" spans="2:5" x14ac:dyDescent="0.25">
      <c r="B141" s="35">
        <v>37</v>
      </c>
      <c r="C141" s="36">
        <v>0.147436715</v>
      </c>
      <c r="D141" s="36">
        <v>-0.10349315420000001</v>
      </c>
      <c r="E141" s="35">
        <v>0</v>
      </c>
    </row>
    <row r="142" spans="2:5" x14ac:dyDescent="0.25">
      <c r="B142" s="35">
        <v>37.25</v>
      </c>
      <c r="C142" s="36">
        <v>0.14611679999999999</v>
      </c>
      <c r="D142" s="36">
        <v>-0.1022438203</v>
      </c>
      <c r="E142" s="35">
        <v>0</v>
      </c>
    </row>
    <row r="143" spans="2:5" x14ac:dyDescent="0.25">
      <c r="B143" s="35">
        <v>37.5</v>
      </c>
      <c r="C143" s="36">
        <v>0.144765802</v>
      </c>
      <c r="D143" s="36">
        <v>-0.10096784640000001</v>
      </c>
      <c r="E143" s="35">
        <v>0</v>
      </c>
    </row>
    <row r="144" spans="2:5" x14ac:dyDescent="0.25">
      <c r="B144" s="35">
        <v>37.75</v>
      </c>
      <c r="C144" s="36">
        <v>0.143383488</v>
      </c>
      <c r="D144" s="36">
        <v>-9.9665649999999995E-2</v>
      </c>
      <c r="E144" s="35">
        <v>0</v>
      </c>
    </row>
    <row r="145" spans="2:5" x14ac:dyDescent="0.25">
      <c r="B145" s="35">
        <v>38</v>
      </c>
      <c r="C145" s="36">
        <v>0.141969646</v>
      </c>
      <c r="D145" s="36">
        <v>-9.8337640399999995E-2</v>
      </c>
      <c r="E145" s="35">
        <v>0</v>
      </c>
    </row>
    <row r="146" spans="2:5" x14ac:dyDescent="0.25">
      <c r="B146" s="35">
        <v>38.25</v>
      </c>
      <c r="C146" s="36">
        <v>0.14052408</v>
      </c>
      <c r="D146" s="36">
        <v>-9.6984219400000002E-2</v>
      </c>
      <c r="E146" s="35">
        <v>0</v>
      </c>
    </row>
    <row r="147" spans="2:5" x14ac:dyDescent="0.25">
      <c r="B147" s="35">
        <v>38.5</v>
      </c>
      <c r="C147" s="36">
        <v>0.13904661300000001</v>
      </c>
      <c r="D147" s="36">
        <v>-9.5605781000000001E-2</v>
      </c>
      <c r="E147" s="35">
        <v>0</v>
      </c>
    </row>
    <row r="148" spans="2:5" x14ac:dyDescent="0.25">
      <c r="B148" s="35">
        <v>38.75</v>
      </c>
      <c r="C148" s="36">
        <v>0.137537084</v>
      </c>
      <c r="D148" s="36">
        <v>-9.4202711600000003E-2</v>
      </c>
      <c r="E148" s="35">
        <v>0</v>
      </c>
    </row>
    <row r="149" spans="2:5" x14ac:dyDescent="0.25">
      <c r="B149" s="35">
        <v>39</v>
      </c>
      <c r="C149" s="36">
        <v>0.13599534699999999</v>
      </c>
      <c r="D149" s="36">
        <v>-9.2775390700000002E-2</v>
      </c>
      <c r="E149" s="35">
        <v>0</v>
      </c>
    </row>
    <row r="150" spans="2:5" x14ac:dyDescent="0.25">
      <c r="B150" s="35">
        <v>39.25</v>
      </c>
      <c r="C150" s="36">
        <v>0.13442125899999999</v>
      </c>
      <c r="D150" s="36">
        <v>-9.1324251300000006E-2</v>
      </c>
      <c r="E150" s="35">
        <v>0</v>
      </c>
    </row>
    <row r="151" spans="2:5" x14ac:dyDescent="0.25">
      <c r="B151" s="35">
        <v>39.5</v>
      </c>
      <c r="C151" s="36">
        <v>0.132814656</v>
      </c>
      <c r="D151" s="36">
        <v>-8.9849876600000003E-2</v>
      </c>
      <c r="E151" s="35">
        <v>0</v>
      </c>
    </row>
    <row r="152" spans="2:5" x14ac:dyDescent="0.25">
      <c r="B152" s="35">
        <v>39.75</v>
      </c>
      <c r="C152" s="36">
        <v>0.13117538400000001</v>
      </c>
      <c r="D152" s="36">
        <v>-8.8352860800000002E-2</v>
      </c>
      <c r="E152" s="35">
        <v>0</v>
      </c>
    </row>
    <row r="153" spans="2:5" x14ac:dyDescent="0.25">
      <c r="B153" s="35">
        <v>40</v>
      </c>
      <c r="C153" s="36">
        <v>0.12950330299999999</v>
      </c>
      <c r="D153" s="36">
        <v>-8.6833782200000001E-2</v>
      </c>
      <c r="E153" s="35">
        <v>0</v>
      </c>
    </row>
    <row r="154" spans="2:5" x14ac:dyDescent="0.25">
      <c r="B154" s="35">
        <v>40.25</v>
      </c>
      <c r="C154" s="36">
        <v>0.12779828900000001</v>
      </c>
      <c r="D154" s="36">
        <v>-8.5293204400000003E-2</v>
      </c>
      <c r="E154" s="35">
        <v>0</v>
      </c>
    </row>
    <row r="155" spans="2:5" x14ac:dyDescent="0.25">
      <c r="B155" s="35">
        <v>40.5</v>
      </c>
      <c r="C155" s="36">
        <v>0.12606023099999999</v>
      </c>
      <c r="D155" s="36">
        <v>-8.3731676300000002E-2</v>
      </c>
      <c r="E155" s="35">
        <v>0</v>
      </c>
    </row>
    <row r="156" spans="2:5" x14ac:dyDescent="0.25">
      <c r="B156" s="35">
        <v>40.75</v>
      </c>
      <c r="C156" s="36">
        <v>0.12428903199999999</v>
      </c>
      <c r="D156" s="36">
        <v>-8.2149732500000003E-2</v>
      </c>
      <c r="E156" s="35">
        <v>0</v>
      </c>
    </row>
    <row r="157" spans="2:5" x14ac:dyDescent="0.25">
      <c r="B157" s="35">
        <v>41</v>
      </c>
      <c r="C157" s="36">
        <v>0.122484607</v>
      </c>
      <c r="D157" s="36">
        <v>-8.0547894100000003E-2</v>
      </c>
      <c r="E157" s="35">
        <v>0</v>
      </c>
    </row>
    <row r="158" spans="2:5" x14ac:dyDescent="0.25">
      <c r="B158" s="35">
        <v>41.25</v>
      </c>
      <c r="C158" s="36">
        <v>0.120646882</v>
      </c>
      <c r="D158" s="36">
        <v>-7.89266686E-2</v>
      </c>
      <c r="E158" s="35">
        <v>0</v>
      </c>
    </row>
    <row r="159" spans="2:5" x14ac:dyDescent="0.25">
      <c r="B159" s="35">
        <v>41.5</v>
      </c>
      <c r="C159" s="36">
        <v>0.118775797</v>
      </c>
      <c r="D159" s="36">
        <v>-7.7286550800000006E-2</v>
      </c>
      <c r="E159" s="35">
        <v>0</v>
      </c>
    </row>
    <row r="160" spans="2:5" x14ac:dyDescent="0.25">
      <c r="B160" s="35">
        <v>41.75</v>
      </c>
      <c r="C160" s="36">
        <v>0.116871302</v>
      </c>
      <c r="D160" s="36">
        <v>-7.56280228E-2</v>
      </c>
      <c r="E160" s="35">
        <v>0</v>
      </c>
    </row>
    <row r="161" spans="2:5" x14ac:dyDescent="0.25">
      <c r="B161" s="35">
        <v>42</v>
      </c>
      <c r="C161" s="36">
        <v>0.114933355</v>
      </c>
      <c r="D161" s="36">
        <v>-7.3951554700000005E-2</v>
      </c>
      <c r="E161" s="35">
        <v>0</v>
      </c>
    </row>
    <row r="162" spans="2:5" x14ac:dyDescent="0.25">
      <c r="B162" s="35">
        <v>42.25</v>
      </c>
      <c r="C162" s="36">
        <v>0.112961929</v>
      </c>
      <c r="D162" s="36">
        <v>-7.2257604700000005E-2</v>
      </c>
      <c r="E162" s="35">
        <v>0</v>
      </c>
    </row>
    <row r="163" spans="2:5" x14ac:dyDescent="0.25">
      <c r="B163" s="35">
        <v>42.5</v>
      </c>
      <c r="C163" s="36">
        <v>0.110957001</v>
      </c>
      <c r="D163" s="36">
        <v>-7.0546619599999999E-2</v>
      </c>
      <c r="E163" s="35">
        <v>0</v>
      </c>
    </row>
    <row r="164" spans="2:5" x14ac:dyDescent="0.25">
      <c r="B164" s="35">
        <v>42.75</v>
      </c>
      <c r="C164" s="36">
        <v>0.108918563</v>
      </c>
      <c r="D164" s="36">
        <v>-6.8819034799999998E-2</v>
      </c>
      <c r="E164" s="35">
        <v>0</v>
      </c>
    </row>
    <row r="165" spans="2:5" x14ac:dyDescent="0.25">
      <c r="B165" s="35">
        <v>43</v>
      </c>
      <c r="C165" s="36">
        <v>0.10684661099999999</v>
      </c>
      <c r="D165" s="36">
        <v>-6.7075275200000006E-2</v>
      </c>
      <c r="E165" s="35">
        <v>0</v>
      </c>
    </row>
    <row r="166" spans="2:5" x14ac:dyDescent="0.25">
      <c r="B166" s="35">
        <v>43.25</v>
      </c>
      <c r="C166" s="36">
        <v>0.104741152</v>
      </c>
      <c r="D166" s="36">
        <v>-6.5315755099999998E-2</v>
      </c>
      <c r="E166" s="35">
        <v>0</v>
      </c>
    </row>
    <row r="167" spans="2:5" x14ac:dyDescent="0.25">
      <c r="B167" s="35">
        <v>43.5</v>
      </c>
      <c r="C167" s="36">
        <v>0.10260219900000001</v>
      </c>
      <c r="D167" s="36">
        <v>-6.3540878600000003E-2</v>
      </c>
      <c r="E167" s="35">
        <v>0</v>
      </c>
    </row>
    <row r="168" spans="2:5" x14ac:dyDescent="0.25">
      <c r="B168" s="35">
        <v>43.75</v>
      </c>
      <c r="C168" s="36">
        <v>0.100429776</v>
      </c>
      <c r="D168" s="36">
        <v>-6.1751039799999997E-2</v>
      </c>
      <c r="E168" s="35">
        <v>0</v>
      </c>
    </row>
    <row r="169" spans="2:5" x14ac:dyDescent="0.25">
      <c r="B169" s="35">
        <v>44</v>
      </c>
      <c r="C169" s="36">
        <v>9.8223908999999998E-2</v>
      </c>
      <c r="D169" s="36">
        <v>-5.9946623400000003E-2</v>
      </c>
      <c r="E169" s="35">
        <v>0</v>
      </c>
    </row>
    <row r="170" spans="2:5" x14ac:dyDescent="0.25">
      <c r="B170" s="35">
        <v>44.25</v>
      </c>
      <c r="C170" s="36">
        <v>9.5984636999999998E-2</v>
      </c>
      <c r="D170" s="36">
        <v>-5.8128004400000002E-2</v>
      </c>
      <c r="E170" s="35">
        <v>0</v>
      </c>
    </row>
    <row r="171" spans="2:5" x14ac:dyDescent="0.25">
      <c r="B171" s="35">
        <v>44.5</v>
      </c>
      <c r="C171" s="36">
        <v>9.3712001000000003E-2</v>
      </c>
      <c r="D171" s="36">
        <v>-5.6295549E-2</v>
      </c>
      <c r="E171" s="35">
        <v>0</v>
      </c>
    </row>
    <row r="172" spans="2:5" x14ac:dyDescent="0.25">
      <c r="B172" s="35">
        <v>44.75</v>
      </c>
      <c r="C172" s="36">
        <v>9.1406050000000003E-2</v>
      </c>
      <c r="D172" s="36">
        <v>-5.4449614399999999E-2</v>
      </c>
      <c r="E172" s="35">
        <v>0</v>
      </c>
    </row>
    <row r="173" spans="2:5" x14ac:dyDescent="0.25">
      <c r="B173" s="35">
        <v>45</v>
      </c>
      <c r="C173" s="36">
        <v>8.9066838999999995E-2</v>
      </c>
      <c r="D173" s="36">
        <v>-5.2590549399999999E-2</v>
      </c>
      <c r="E173" s="35">
        <v>0</v>
      </c>
    </row>
    <row r="174" spans="2:5" x14ac:dyDescent="0.25">
      <c r="B174" s="35">
        <v>45.25</v>
      </c>
      <c r="C174" s="36">
        <v>8.6694429000000003E-2</v>
      </c>
      <c r="D174" s="36">
        <v>-5.0718694199999997E-2</v>
      </c>
      <c r="E174" s="35">
        <v>0</v>
      </c>
    </row>
    <row r="175" spans="2:5" x14ac:dyDescent="0.25">
      <c r="B175" s="35">
        <v>45.5</v>
      </c>
      <c r="C175" s="36">
        <v>8.4288884999999994E-2</v>
      </c>
      <c r="D175" s="36">
        <v>-4.8834381000000003E-2</v>
      </c>
      <c r="E175" s="35">
        <v>0</v>
      </c>
    </row>
    <row r="176" spans="2:5" x14ac:dyDescent="0.25">
      <c r="B176" s="35">
        <v>45.75</v>
      </c>
      <c r="C176" s="36">
        <v>8.1850279999999997E-2</v>
      </c>
      <c r="D176" s="36">
        <v>-4.6937934100000002E-2</v>
      </c>
      <c r="E176" s="35">
        <v>0</v>
      </c>
    </row>
    <row r="177" spans="2:5" x14ac:dyDescent="0.25">
      <c r="B177" s="35">
        <v>46</v>
      </c>
      <c r="C177" s="36">
        <v>7.9378690000000002E-2</v>
      </c>
      <c r="D177" s="36">
        <v>-4.5029670100000002E-2</v>
      </c>
      <c r="E177" s="35">
        <v>0</v>
      </c>
    </row>
    <row r="178" spans="2:5" x14ac:dyDescent="0.25">
      <c r="B178" s="35">
        <v>46.25</v>
      </c>
      <c r="C178" s="36">
        <v>7.6874195000000006E-2</v>
      </c>
      <c r="D178" s="36">
        <v>-4.3109898100000002E-2</v>
      </c>
      <c r="E178" s="35">
        <v>0</v>
      </c>
    </row>
    <row r="179" spans="2:5" x14ac:dyDescent="0.25">
      <c r="B179" s="35">
        <v>46.5</v>
      </c>
      <c r="C179" s="36">
        <v>7.4336880999999994E-2</v>
      </c>
      <c r="D179" s="36">
        <v>-4.1178920000000001E-2</v>
      </c>
      <c r="E179" s="35">
        <v>0</v>
      </c>
    </row>
    <row r="180" spans="2:5" x14ac:dyDescent="0.25">
      <c r="B180" s="35">
        <v>46.75</v>
      </c>
      <c r="C180" s="36">
        <v>7.1766837999999999E-2</v>
      </c>
      <c r="D180" s="36">
        <v>-3.92370306E-2</v>
      </c>
      <c r="E180" s="35">
        <v>0</v>
      </c>
    </row>
    <row r="181" spans="2:5" x14ac:dyDescent="0.25">
      <c r="B181" s="35">
        <v>47</v>
      </c>
      <c r="C181" s="36">
        <v>6.9164164E-2</v>
      </c>
      <c r="D181" s="36">
        <v>-3.7284518400000001E-2</v>
      </c>
      <c r="E181" s="35">
        <v>0</v>
      </c>
    </row>
    <row r="182" spans="2:5" x14ac:dyDescent="0.25">
      <c r="B182" s="35">
        <v>47.25</v>
      </c>
      <c r="C182" s="36">
        <v>6.6529137000000002E-2</v>
      </c>
      <c r="D182" s="36">
        <v>-3.5321699200000001E-2</v>
      </c>
      <c r="E182" s="35">
        <v>0</v>
      </c>
    </row>
    <row r="183" spans="2:5" x14ac:dyDescent="0.25">
      <c r="B183" s="35">
        <v>47.5</v>
      </c>
      <c r="C183" s="36">
        <v>6.3862286000000004E-2</v>
      </c>
      <c r="D183" s="36">
        <v>-3.3348928600000001E-2</v>
      </c>
      <c r="E183" s="35">
        <v>0</v>
      </c>
    </row>
    <row r="184" spans="2:5" x14ac:dyDescent="0.25">
      <c r="B184" s="35">
        <v>47.75</v>
      </c>
      <c r="C184" s="36">
        <v>6.1164146000000003E-2</v>
      </c>
      <c r="D184" s="36">
        <v>-3.1366556599999998E-2</v>
      </c>
      <c r="E184" s="35">
        <v>0</v>
      </c>
    </row>
    <row r="185" spans="2:5" x14ac:dyDescent="0.25">
      <c r="B185" s="35">
        <v>48</v>
      </c>
      <c r="C185" s="36">
        <v>5.8435242999999998E-2</v>
      </c>
      <c r="D185" s="36">
        <v>-2.93749248E-2</v>
      </c>
      <c r="E185" s="35">
        <v>0</v>
      </c>
    </row>
    <row r="186" spans="2:5" x14ac:dyDescent="0.25">
      <c r="B186" s="35">
        <v>48.25</v>
      </c>
      <c r="C186" s="36">
        <v>5.5676090999999997E-2</v>
      </c>
      <c r="D186" s="36">
        <v>-2.7374365899999999E-2</v>
      </c>
      <c r="E186" s="35">
        <v>0</v>
      </c>
    </row>
    <row r="187" spans="2:5" x14ac:dyDescent="0.25">
      <c r="B187" s="35">
        <v>48.5</v>
      </c>
      <c r="C187" s="36">
        <v>5.2887198000000003E-2</v>
      </c>
      <c r="D187" s="36">
        <v>-2.53652046E-2</v>
      </c>
      <c r="E187" s="35">
        <v>0</v>
      </c>
    </row>
    <row r="188" spans="2:5" x14ac:dyDescent="0.25">
      <c r="B188" s="35">
        <v>48.75</v>
      </c>
      <c r="C188" s="36">
        <v>5.0069058E-2</v>
      </c>
      <c r="D188" s="36">
        <v>-2.33477575E-2</v>
      </c>
      <c r="E188" s="35">
        <v>0</v>
      </c>
    </row>
    <row r="189" spans="2:5" x14ac:dyDescent="0.25">
      <c r="B189" s="35">
        <v>49</v>
      </c>
      <c r="C189" s="36">
        <v>4.7222159999999999E-2</v>
      </c>
      <c r="D189" s="36">
        <v>-2.13223331E-2</v>
      </c>
      <c r="E189" s="35">
        <v>0</v>
      </c>
    </row>
    <row r="190" spans="2:5" x14ac:dyDescent="0.25">
      <c r="B190" s="35">
        <v>49.25</v>
      </c>
      <c r="C190" s="36">
        <v>4.4346980000000001E-2</v>
      </c>
      <c r="D190" s="36">
        <v>-1.92892325E-2</v>
      </c>
      <c r="E190" s="35">
        <v>0</v>
      </c>
    </row>
    <row r="191" spans="2:5" x14ac:dyDescent="0.25">
      <c r="B191" s="35">
        <v>49.5</v>
      </c>
      <c r="C191" s="36">
        <v>4.1443986000000002E-2</v>
      </c>
      <c r="D191" s="36">
        <v>-1.7248749300000001E-2</v>
      </c>
      <c r="E191" s="35">
        <v>0</v>
      </c>
    </row>
    <row r="192" spans="2:5" x14ac:dyDescent="0.25">
      <c r="B192" s="35">
        <v>49.75</v>
      </c>
      <c r="C192" s="36">
        <v>3.8513640000000002E-2</v>
      </c>
      <c r="D192" s="36">
        <v>-1.52011699E-2</v>
      </c>
      <c r="E192" s="35">
        <v>0</v>
      </c>
    </row>
    <row r="193" spans="2:5" x14ac:dyDescent="0.25">
      <c r="B193" s="35">
        <v>50</v>
      </c>
      <c r="C193" s="36">
        <v>3.5556391E-2</v>
      </c>
      <c r="D193" s="36">
        <v>-1.31467736E-2</v>
      </c>
      <c r="E193" s="35">
        <v>0</v>
      </c>
    </row>
    <row r="194" spans="2:5" x14ac:dyDescent="0.25">
      <c r="B194" s="35">
        <v>50.25</v>
      </c>
      <c r="C194" s="36">
        <v>3.2572683999999998E-2</v>
      </c>
      <c r="D194" s="36">
        <v>-1.1085832800000001E-2</v>
      </c>
      <c r="E194" s="35">
        <v>0</v>
      </c>
    </row>
    <row r="195" spans="2:5" x14ac:dyDescent="0.25">
      <c r="B195" s="35">
        <v>50.5</v>
      </c>
      <c r="C195" s="36">
        <v>2.9562952999999999E-2</v>
      </c>
      <c r="D195" s="36">
        <v>-9.0186133000000005E-3</v>
      </c>
      <c r="E195" s="35">
        <v>0</v>
      </c>
    </row>
    <row r="196" spans="2:5" x14ac:dyDescent="0.25">
      <c r="B196" s="35">
        <v>50.75</v>
      </c>
      <c r="C196" s="36">
        <v>2.6527624E-2</v>
      </c>
      <c r="D196" s="36">
        <v>-6.9453745000000004E-3</v>
      </c>
      <c r="E196" s="35">
        <v>0</v>
      </c>
    </row>
    <row r="197" spans="2:5" x14ac:dyDescent="0.25">
      <c r="B197" s="35">
        <v>51</v>
      </c>
      <c r="C197" s="36">
        <v>2.3467117999999999E-2</v>
      </c>
      <c r="D197" s="36">
        <v>-4.8663693999999999E-3</v>
      </c>
      <c r="E197" s="35">
        <v>0</v>
      </c>
    </row>
    <row r="198" spans="2:5" x14ac:dyDescent="0.25">
      <c r="B198" s="35">
        <v>51.25</v>
      </c>
      <c r="C198" s="36">
        <v>2.0381844E-2</v>
      </c>
      <c r="D198" s="36">
        <v>-2.7818447000000001E-3</v>
      </c>
      <c r="E198" s="35">
        <v>0</v>
      </c>
    </row>
    <row r="199" spans="2:5" x14ac:dyDescent="0.25">
      <c r="B199" s="35">
        <v>51.5</v>
      </c>
      <c r="C199" s="36">
        <v>1.7272208000000001E-2</v>
      </c>
      <c r="D199" s="36">
        <v>-6.920413E-4</v>
      </c>
      <c r="E199" s="35">
        <v>0</v>
      </c>
    </row>
    <row r="200" spans="2:5" x14ac:dyDescent="0.25">
      <c r="B200" s="35">
        <v>51.75</v>
      </c>
      <c r="C200" s="36">
        <v>1.4138605E-2</v>
      </c>
      <c r="D200" s="36">
        <v>1.4028058999999999E-3</v>
      </c>
      <c r="E200" s="35">
        <v>0</v>
      </c>
    </row>
    <row r="201" spans="2:5" x14ac:dyDescent="0.25">
      <c r="B201" s="35">
        <v>52</v>
      </c>
      <c r="C201" s="36">
        <v>1.0981426000000001E-2</v>
      </c>
      <c r="D201" s="36">
        <v>3.5024675000000002E-3</v>
      </c>
      <c r="E201" s="35">
        <v>0</v>
      </c>
    </row>
    <row r="202" spans="2:5" x14ac:dyDescent="0.25">
      <c r="B202" s="35">
        <v>52.25</v>
      </c>
      <c r="C202" s="36">
        <v>7.8010529999999996E-3</v>
      </c>
      <c r="D202" s="36">
        <v>5.6067197999999999E-3</v>
      </c>
      <c r="E202" s="35">
        <v>0</v>
      </c>
    </row>
    <row r="203" spans="2:5" x14ac:dyDescent="0.25">
      <c r="B203" s="35">
        <v>52.5</v>
      </c>
      <c r="C203" s="36">
        <v>4.597861E-3</v>
      </c>
      <c r="D203" s="36">
        <v>7.7153444999999996E-3</v>
      </c>
      <c r="E203" s="35">
        <v>0</v>
      </c>
    </row>
    <row r="204" spans="2:5" x14ac:dyDescent="0.25">
      <c r="B204" s="35">
        <v>52.75</v>
      </c>
      <c r="C204" s="36">
        <v>1.372219E-3</v>
      </c>
      <c r="D204" s="36">
        <v>9.8281284000000003E-3</v>
      </c>
      <c r="E204" s="35">
        <v>0</v>
      </c>
    </row>
    <row r="205" spans="2:5" x14ac:dyDescent="0.25">
      <c r="B205" s="35">
        <v>53</v>
      </c>
      <c r="C205" s="36">
        <v>-1.875509E-3</v>
      </c>
      <c r="D205" s="36">
        <v>1.1944863599999999E-2</v>
      </c>
      <c r="E205" s="35">
        <v>0</v>
      </c>
    </row>
    <row r="206" spans="2:5" x14ac:dyDescent="0.25">
      <c r="B206" s="35">
        <v>53.25</v>
      </c>
      <c r="C206" s="36">
        <v>-5.1449690000000001E-3</v>
      </c>
      <c r="D206" s="36">
        <v>1.40653471E-2</v>
      </c>
      <c r="E206" s="35">
        <v>0</v>
      </c>
    </row>
    <row r="207" spans="2:5" x14ac:dyDescent="0.25">
      <c r="B207" s="35">
        <v>53.5</v>
      </c>
      <c r="C207" s="36">
        <v>-8.4358090000000007E-3</v>
      </c>
      <c r="D207" s="36">
        <v>1.6189380900000001E-2</v>
      </c>
      <c r="E207" s="35">
        <v>0</v>
      </c>
    </row>
    <row r="208" spans="2:5" x14ac:dyDescent="0.25">
      <c r="B208" s="35">
        <v>53.75</v>
      </c>
      <c r="C208" s="36">
        <v>-1.1747687E-2</v>
      </c>
      <c r="D208" s="36">
        <v>1.8316771499999999E-2</v>
      </c>
      <c r="E208" s="35">
        <v>0</v>
      </c>
    </row>
    <row r="209" spans="2:5" x14ac:dyDescent="0.25">
      <c r="B209" s="35">
        <v>54</v>
      </c>
      <c r="C209" s="36">
        <v>-1.5080265000000001E-2</v>
      </c>
      <c r="D209" s="36">
        <v>2.04473303E-2</v>
      </c>
      <c r="E209" s="35">
        <v>0</v>
      </c>
    </row>
    <row r="210" spans="2:5" x14ac:dyDescent="0.25">
      <c r="B210" s="35">
        <v>54.25</v>
      </c>
      <c r="C210" s="36">
        <v>-1.8433211000000001E-2</v>
      </c>
      <c r="D210" s="36">
        <v>2.2580873000000001E-2</v>
      </c>
      <c r="E210" s="35">
        <v>0</v>
      </c>
    </row>
    <row r="211" spans="2:5" x14ac:dyDescent="0.25">
      <c r="B211" s="35">
        <v>54.5</v>
      </c>
      <c r="C211" s="36">
        <v>-2.1806198999999998E-2</v>
      </c>
      <c r="D211" s="36">
        <v>2.47172199E-2</v>
      </c>
      <c r="E211" s="35">
        <v>0</v>
      </c>
    </row>
    <row r="212" spans="2:5" x14ac:dyDescent="0.25">
      <c r="B212" s="35">
        <v>54.75</v>
      </c>
      <c r="C212" s="36">
        <v>-2.5198907999999999E-2</v>
      </c>
      <c r="D212" s="36">
        <v>2.68561953E-2</v>
      </c>
      <c r="E212" s="35">
        <v>0</v>
      </c>
    </row>
    <row r="213" spans="2:5" x14ac:dyDescent="0.25">
      <c r="B213" s="35">
        <v>55</v>
      </c>
      <c r="C213" s="36">
        <v>-2.8611023999999999E-2</v>
      </c>
      <c r="D213" s="36">
        <v>2.8997628000000001E-2</v>
      </c>
      <c r="E213" s="35">
        <v>0</v>
      </c>
    </row>
    <row r="214" spans="2:5" x14ac:dyDescent="0.25">
      <c r="B214" s="35">
        <v>55.25</v>
      </c>
      <c r="C214" s="36">
        <v>-3.2042237000000001E-2</v>
      </c>
      <c r="D214" s="36">
        <v>3.1141350599999999E-2</v>
      </c>
      <c r="E214" s="35">
        <v>0</v>
      </c>
    </row>
    <row r="215" spans="2:5" x14ac:dyDescent="0.25">
      <c r="B215" s="35">
        <v>55.5</v>
      </c>
      <c r="C215" s="36">
        <v>-3.5492242E-2</v>
      </c>
      <c r="D215" s="36">
        <v>3.3287199900000002E-2</v>
      </c>
      <c r="E215" s="35">
        <v>0</v>
      </c>
    </row>
    <row r="216" spans="2:5" x14ac:dyDescent="0.25">
      <c r="B216" s="35">
        <v>55.75</v>
      </c>
      <c r="C216" s="36">
        <v>-3.8960742E-2</v>
      </c>
      <c r="D216" s="36">
        <v>3.5435016399999998E-2</v>
      </c>
      <c r="E216" s="35">
        <v>0</v>
      </c>
    </row>
    <row r="217" spans="2:5" x14ac:dyDescent="0.25">
      <c r="B217" s="35">
        <v>56</v>
      </c>
      <c r="C217" s="36">
        <v>-4.2447441000000002E-2</v>
      </c>
      <c r="D217" s="36">
        <v>3.75846445E-2</v>
      </c>
      <c r="E217" s="35">
        <v>0</v>
      </c>
    </row>
    <row r="218" spans="2:5" x14ac:dyDescent="0.25">
      <c r="B218" s="35">
        <v>56.25</v>
      </c>
      <c r="C218" s="36">
        <v>-4.5952051000000001E-2</v>
      </c>
      <c r="D218" s="36">
        <v>3.9735932199999997E-2</v>
      </c>
      <c r="E218" s="35">
        <v>0</v>
      </c>
    </row>
    <row r="219" spans="2:5" x14ac:dyDescent="0.25">
      <c r="B219" s="35">
        <v>56.5</v>
      </c>
      <c r="C219" s="36">
        <v>-4.9474287999999998E-2</v>
      </c>
      <c r="D219" s="36">
        <v>4.1888731200000001E-2</v>
      </c>
      <c r="E219" s="35">
        <v>0</v>
      </c>
    </row>
    <row r="220" spans="2:5" x14ac:dyDescent="0.25">
      <c r="B220" s="35">
        <v>56.75</v>
      </c>
      <c r="C220" s="36">
        <v>-5.3013801999999999E-2</v>
      </c>
      <c r="D220" s="36">
        <v>4.4042878100000002E-2</v>
      </c>
      <c r="E220" s="35">
        <v>0</v>
      </c>
    </row>
    <row r="221" spans="2:5" x14ac:dyDescent="0.25">
      <c r="B221" s="35">
        <v>57</v>
      </c>
      <c r="C221" s="36">
        <v>-5.6570057E-2</v>
      </c>
      <c r="D221" s="36">
        <v>4.6198162500000001E-2</v>
      </c>
      <c r="E221" s="35">
        <v>0</v>
      </c>
    </row>
    <row r="222" spans="2:5" x14ac:dyDescent="0.25">
      <c r="B222" s="35">
        <v>57.25</v>
      </c>
      <c r="C222" s="36">
        <v>-6.0142497000000003E-2</v>
      </c>
      <c r="D222" s="36">
        <v>4.8354370299999998E-2</v>
      </c>
      <c r="E222" s="35">
        <v>0</v>
      </c>
    </row>
    <row r="223" spans="2:5" x14ac:dyDescent="0.25">
      <c r="B223" s="35">
        <v>57.5</v>
      </c>
      <c r="C223" s="36">
        <v>-6.3730574999999998E-2</v>
      </c>
      <c r="D223" s="36">
        <v>5.0511292700000002E-2</v>
      </c>
      <c r="E223" s="35">
        <v>0</v>
      </c>
    </row>
    <row r="224" spans="2:5" x14ac:dyDescent="0.25">
      <c r="B224" s="35">
        <v>57.75</v>
      </c>
      <c r="C224" s="36">
        <v>-6.7333757999999994E-2</v>
      </c>
      <c r="D224" s="36">
        <v>5.2668725899999998E-2</v>
      </c>
      <c r="E224" s="35">
        <v>0</v>
      </c>
    </row>
    <row r="225" spans="2:5" x14ac:dyDescent="0.25">
      <c r="B225" s="35">
        <v>58</v>
      </c>
      <c r="C225" s="36">
        <v>-7.0951523000000002E-2</v>
      </c>
      <c r="D225" s="36">
        <v>5.4826471199999997E-2</v>
      </c>
      <c r="E225" s="35">
        <v>0</v>
      </c>
    </row>
    <row r="226" spans="2:5" x14ac:dyDescent="0.25">
      <c r="B226" s="35">
        <v>58.25</v>
      </c>
      <c r="C226" s="36">
        <v>-7.4583360000000001E-2</v>
      </c>
      <c r="D226" s="36">
        <v>5.6984334800000001E-2</v>
      </c>
      <c r="E226" s="35">
        <v>0</v>
      </c>
    </row>
    <row r="227" spans="2:5" x14ac:dyDescent="0.25">
      <c r="B227" s="35">
        <v>58.5</v>
      </c>
      <c r="C227" s="36">
        <v>-7.8228768000000004E-2</v>
      </c>
      <c r="D227" s="36">
        <v>5.9142127699999998E-2</v>
      </c>
      <c r="E227" s="35">
        <v>0</v>
      </c>
    </row>
    <row r="228" spans="2:5" x14ac:dyDescent="0.25">
      <c r="B228" s="35">
        <v>58.75</v>
      </c>
      <c r="C228" s="36">
        <v>-8.1887257000000005E-2</v>
      </c>
      <c r="D228" s="36">
        <v>6.1299665400000002E-2</v>
      </c>
      <c r="E228" s="35">
        <v>0</v>
      </c>
    </row>
    <row r="229" spans="2:5" x14ac:dyDescent="0.25">
      <c r="B229" s="35">
        <v>59</v>
      </c>
      <c r="C229" s="36">
        <v>-8.5558350000000005E-2</v>
      </c>
      <c r="D229" s="36">
        <v>6.3456768100000005E-2</v>
      </c>
      <c r="E229" s="35">
        <v>0</v>
      </c>
    </row>
    <row r="230" spans="2:5" x14ac:dyDescent="0.25">
      <c r="B230" s="35">
        <v>59.25</v>
      </c>
      <c r="C230" s="36">
        <v>-8.9241577000000002E-2</v>
      </c>
      <c r="D230" s="36">
        <v>6.5613260199999995E-2</v>
      </c>
      <c r="E230" s="35">
        <v>0</v>
      </c>
    </row>
    <row r="231" spans="2:5" x14ac:dyDescent="0.25">
      <c r="B231" s="35">
        <v>59.5</v>
      </c>
      <c r="C231" s="36">
        <v>-9.2936479000000002E-2</v>
      </c>
      <c r="D231" s="36">
        <v>6.77689707E-2</v>
      </c>
      <c r="E231" s="35">
        <v>0</v>
      </c>
    </row>
    <row r="232" spans="2:5" x14ac:dyDescent="0.25">
      <c r="B232" s="35">
        <v>59.75</v>
      </c>
      <c r="C232" s="36">
        <v>-9.6642608000000005E-2</v>
      </c>
      <c r="D232" s="36">
        <v>6.9923732700000005E-2</v>
      </c>
      <c r="E232" s="35">
        <v>0</v>
      </c>
    </row>
    <row r="233" spans="2:5" x14ac:dyDescent="0.25">
      <c r="B233" s="35">
        <v>60</v>
      </c>
      <c r="C233" s="36">
        <v>-0.10035952300000001</v>
      </c>
      <c r="D233" s="36">
        <v>7.2077383199999998E-2</v>
      </c>
      <c r="E233" s="35">
        <v>0</v>
      </c>
    </row>
    <row r="234" spans="2:5" x14ac:dyDescent="0.25">
      <c r="B234" s="35">
        <v>60.25</v>
      </c>
      <c r="C234" s="36">
        <v>-0.104086796</v>
      </c>
      <c r="D234" s="36">
        <v>7.4229763700000007E-2</v>
      </c>
      <c r="E234" s="35">
        <v>0</v>
      </c>
    </row>
    <row r="235" spans="2:5" x14ac:dyDescent="0.25">
      <c r="B235" s="35">
        <v>60.5</v>
      </c>
      <c r="C235" s="36">
        <v>-0.107824004</v>
      </c>
      <c r="D235" s="36">
        <v>7.6380719E-2</v>
      </c>
      <c r="E235" s="35">
        <v>0</v>
      </c>
    </row>
    <row r="236" spans="2:5" x14ac:dyDescent="0.25">
      <c r="B236" s="35">
        <v>60.75</v>
      </c>
      <c r="C236" s="36">
        <v>-0.111570735</v>
      </c>
      <c r="D236" s="36">
        <v>7.8530098300000004E-2</v>
      </c>
      <c r="E236" s="35">
        <v>0</v>
      </c>
    </row>
    <row r="237" spans="2:5" x14ac:dyDescent="0.25">
      <c r="B237" s="35">
        <v>61</v>
      </c>
      <c r="C237" s="36">
        <v>-0.11532658699999999</v>
      </c>
      <c r="D237" s="36">
        <v>8.0677754199999993E-2</v>
      </c>
      <c r="E237" s="35">
        <v>0</v>
      </c>
    </row>
    <row r="238" spans="2:5" x14ac:dyDescent="0.25">
      <c r="B238" s="35">
        <v>61.25</v>
      </c>
      <c r="C238" s="36">
        <v>-0.119091165</v>
      </c>
      <c r="D238" s="36">
        <v>8.2823542999999999E-2</v>
      </c>
      <c r="E238" s="35">
        <v>0</v>
      </c>
    </row>
    <row r="239" spans="2:5" x14ac:dyDescent="0.25">
      <c r="B239" s="35">
        <v>61.5</v>
      </c>
      <c r="C239" s="36">
        <v>-0.122864081</v>
      </c>
      <c r="D239" s="36">
        <v>8.4967324699999999E-2</v>
      </c>
      <c r="E239" s="35">
        <v>0</v>
      </c>
    </row>
    <row r="240" spans="2:5" x14ac:dyDescent="0.25">
      <c r="B240" s="35">
        <v>61.75</v>
      </c>
      <c r="C240" s="36">
        <v>-0.126644957</v>
      </c>
      <c r="D240" s="36">
        <v>8.7108962499999998E-2</v>
      </c>
      <c r="E240" s="35">
        <v>0</v>
      </c>
    </row>
    <row r="241" spans="2:5" x14ac:dyDescent="0.25">
      <c r="B241" s="35">
        <v>62</v>
      </c>
      <c r="C241" s="36">
        <v>-0.13043342399999999</v>
      </c>
      <c r="D241" s="36">
        <v>8.9248323300000001E-2</v>
      </c>
      <c r="E241" s="35">
        <v>0</v>
      </c>
    </row>
    <row r="242" spans="2:5" x14ac:dyDescent="0.25">
      <c r="B242" s="35">
        <v>62.25</v>
      </c>
      <c r="C242" s="36">
        <v>-0.13422911700000001</v>
      </c>
      <c r="D242" s="36">
        <v>9.1385277200000004E-2</v>
      </c>
      <c r="E242" s="35">
        <v>0</v>
      </c>
    </row>
    <row r="243" spans="2:5" x14ac:dyDescent="0.25">
      <c r="B243" s="35">
        <v>62.5</v>
      </c>
      <c r="C243" s="36">
        <v>-0.13803168299999999</v>
      </c>
      <c r="D243" s="36">
        <v>9.3519697400000004E-2</v>
      </c>
      <c r="E243" s="35">
        <v>0</v>
      </c>
    </row>
    <row r="244" spans="2:5" x14ac:dyDescent="0.25">
      <c r="B244" s="35">
        <v>62.75</v>
      </c>
      <c r="C244" s="36">
        <v>-0.141840772</v>
      </c>
      <c r="D244" s="36">
        <v>9.5651460499999993E-2</v>
      </c>
      <c r="E244" s="35">
        <v>0</v>
      </c>
    </row>
    <row r="245" spans="2:5" x14ac:dyDescent="0.25">
      <c r="B245" s="35">
        <v>63</v>
      </c>
      <c r="C245" s="36">
        <v>-0.14565604600000001</v>
      </c>
      <c r="D245" s="36">
        <v>9.7780445899999999E-2</v>
      </c>
      <c r="E245" s="35">
        <v>0</v>
      </c>
    </row>
    <row r="246" spans="2:5" x14ac:dyDescent="0.25">
      <c r="B246" s="35">
        <v>63.25</v>
      </c>
      <c r="C246" s="36">
        <v>-0.14947717099999999</v>
      </c>
      <c r="D246" s="36">
        <v>9.9906536399999996E-2</v>
      </c>
      <c r="E246" s="35">
        <v>0</v>
      </c>
    </row>
    <row r="247" spans="2:5" x14ac:dyDescent="0.25">
      <c r="B247" s="35">
        <v>63.5</v>
      </c>
      <c r="C247" s="36">
        <v>-0.15330382100000001</v>
      </c>
      <c r="D247" s="36">
        <v>0.1020296175</v>
      </c>
      <c r="E247" s="35">
        <v>0</v>
      </c>
    </row>
    <row r="248" spans="2:5" x14ac:dyDescent="0.25">
      <c r="B248" s="35">
        <v>63.75</v>
      </c>
      <c r="C248" s="36">
        <v>-0.157135675</v>
      </c>
      <c r="D248" s="36">
        <v>0.1041495774</v>
      </c>
      <c r="E248" s="35">
        <v>0</v>
      </c>
    </row>
    <row r="249" spans="2:5" x14ac:dyDescent="0.25">
      <c r="B249" s="35">
        <v>64</v>
      </c>
      <c r="C249" s="36">
        <v>-0.160972422</v>
      </c>
      <c r="D249" s="36">
        <v>0.1062663076</v>
      </c>
      <c r="E249" s="35">
        <v>0</v>
      </c>
    </row>
    <row r="250" spans="2:5" x14ac:dyDescent="0.25">
      <c r="B250" s="35">
        <v>64.25</v>
      </c>
      <c r="C250" s="36">
        <v>-0.16481375500000001</v>
      </c>
      <c r="D250" s="36">
        <v>0.10837970180000001</v>
      </c>
      <c r="E250" s="35">
        <v>0</v>
      </c>
    </row>
    <row r="251" spans="2:5" x14ac:dyDescent="0.25">
      <c r="B251" s="35">
        <v>64.5</v>
      </c>
      <c r="C251" s="36">
        <v>-0.168659374</v>
      </c>
      <c r="D251" s="36">
        <v>0.1104896569</v>
      </c>
      <c r="E251" s="35">
        <v>0</v>
      </c>
    </row>
    <row r="252" spans="2:5" x14ac:dyDescent="0.25">
      <c r="B252" s="35">
        <v>64.75</v>
      </c>
      <c r="C252" s="36">
        <v>-0.172508986</v>
      </c>
      <c r="D252" s="36">
        <v>0.1125960721</v>
      </c>
      <c r="E252" s="35">
        <v>0</v>
      </c>
    </row>
    <row r="253" spans="2:5" x14ac:dyDescent="0.25">
      <c r="B253" s="35">
        <v>65</v>
      </c>
      <c r="C253" s="36">
        <v>-0.176362302</v>
      </c>
      <c r="D253" s="36">
        <v>0.1146988491</v>
      </c>
      <c r="E253" s="35">
        <v>0</v>
      </c>
    </row>
    <row r="254" spans="2:5" x14ac:dyDescent="0.25">
      <c r="B254" s="35">
        <v>65.25</v>
      </c>
      <c r="C254" s="36">
        <v>-0.180219043</v>
      </c>
      <c r="D254" s="36">
        <v>0.11679789240000001</v>
      </c>
      <c r="E254" s="35">
        <v>0</v>
      </c>
    </row>
    <row r="255" spans="2:5" x14ac:dyDescent="0.25">
      <c r="B255" s="35">
        <v>65.5</v>
      </c>
      <c r="C255" s="36">
        <v>-0.184078931</v>
      </c>
      <c r="D255" s="36">
        <v>0.1188931087</v>
      </c>
      <c r="E255" s="35">
        <v>0</v>
      </c>
    </row>
    <row r="256" spans="2:5" x14ac:dyDescent="0.25">
      <c r="B256" s="35">
        <v>65.75</v>
      </c>
      <c r="C256" s="36">
        <v>-0.18794169699999999</v>
      </c>
      <c r="D256" s="36">
        <v>0.1209844073</v>
      </c>
      <c r="E256" s="35">
        <v>0</v>
      </c>
    </row>
    <row r="257" spans="2:5" x14ac:dyDescent="0.25">
      <c r="B257" s="35">
        <v>66</v>
      </c>
      <c r="C257" s="36">
        <v>-0.19180707599999999</v>
      </c>
      <c r="D257" s="36">
        <v>0.1230716996</v>
      </c>
      <c r="E257" s="35">
        <v>0</v>
      </c>
    </row>
    <row r="258" spans="2:5" x14ac:dyDescent="0.25">
      <c r="B258" s="35">
        <v>66.25</v>
      </c>
      <c r="C258" s="36">
        <v>-0.19567481</v>
      </c>
      <c r="D258" s="36">
        <v>0.12515489939999999</v>
      </c>
      <c r="E258" s="35">
        <v>0</v>
      </c>
    </row>
    <row r="259" spans="2:5" x14ac:dyDescent="0.25">
      <c r="B259" s="35">
        <v>66.5</v>
      </c>
      <c r="C259" s="36">
        <v>-0.19954464599999999</v>
      </c>
      <c r="D259" s="36">
        <v>0.1272339227</v>
      </c>
      <c r="E259" s="35">
        <v>0</v>
      </c>
    </row>
    <row r="260" spans="2:5" x14ac:dyDescent="0.25">
      <c r="B260" s="35">
        <v>66.75</v>
      </c>
      <c r="C260" s="36">
        <v>-0.203416334</v>
      </c>
      <c r="D260" s="36">
        <v>0.12930868779999999</v>
      </c>
      <c r="E260" s="35">
        <v>0</v>
      </c>
    </row>
    <row r="261" spans="2:5" x14ac:dyDescent="0.25">
      <c r="B261" s="35">
        <v>67</v>
      </c>
      <c r="C261" s="36">
        <v>-0.207289633</v>
      </c>
      <c r="D261" s="36">
        <v>0.1313791151</v>
      </c>
      <c r="E261" s="35">
        <v>0</v>
      </c>
    </row>
    <row r="262" spans="2:5" x14ac:dyDescent="0.25">
      <c r="B262" s="35">
        <v>67.25</v>
      </c>
      <c r="C262" s="36">
        <v>-0.211164303</v>
      </c>
      <c r="D262" s="36">
        <v>0.13344512680000001</v>
      </c>
      <c r="E262" s="35">
        <v>0</v>
      </c>
    </row>
    <row r="263" spans="2:5" x14ac:dyDescent="0.25">
      <c r="B263" s="35">
        <v>67.5</v>
      </c>
      <c r="C263" s="36">
        <v>-0.21504011200000001</v>
      </c>
      <c r="D263" s="36">
        <v>0.1355066476</v>
      </c>
      <c r="E263" s="35">
        <v>0</v>
      </c>
    </row>
    <row r="264" spans="2:5" x14ac:dyDescent="0.25">
      <c r="B264" s="35">
        <v>67.75</v>
      </c>
      <c r="C264" s="36">
        <v>-0.21891683200000001</v>
      </c>
      <c r="D264" s="36">
        <v>0.13756360379999999</v>
      </c>
      <c r="E264" s="35">
        <v>0</v>
      </c>
    </row>
    <row r="265" spans="2:5" x14ac:dyDescent="0.25">
      <c r="B265" s="35">
        <v>68</v>
      </c>
      <c r="C265" s="36">
        <v>-0.22279423900000001</v>
      </c>
      <c r="D265" s="36">
        <v>0.13961592380000001</v>
      </c>
      <c r="E265" s="35">
        <v>0</v>
      </c>
    </row>
    <row r="266" spans="2:5" x14ac:dyDescent="0.25">
      <c r="B266" s="35">
        <v>68.25</v>
      </c>
      <c r="C266" s="36">
        <v>-0.22667209699999999</v>
      </c>
      <c r="D266" s="36">
        <v>0.1416635457</v>
      </c>
      <c r="E266" s="35">
        <v>0</v>
      </c>
    </row>
    <row r="267" spans="2:5" x14ac:dyDescent="0.25">
      <c r="B267" s="35">
        <v>68.5</v>
      </c>
      <c r="C267" s="36">
        <v>-0.230550118</v>
      </c>
      <c r="D267" s="36">
        <v>0.1437064334</v>
      </c>
      <c r="E267" s="35">
        <v>0</v>
      </c>
    </row>
    <row r="268" spans="2:5" x14ac:dyDescent="0.25">
      <c r="B268" s="35">
        <v>68.75</v>
      </c>
      <c r="C268" s="36">
        <v>-0.23442800999999999</v>
      </c>
      <c r="D268" s="36">
        <v>0.14574455659999999</v>
      </c>
      <c r="E268" s="35">
        <v>0</v>
      </c>
    </row>
    <row r="269" spans="2:5" x14ac:dyDescent="0.25">
      <c r="B269" s="35">
        <v>69</v>
      </c>
      <c r="C269" s="36">
        <v>-0.23830548700000001</v>
      </c>
      <c r="D269" s="36">
        <v>0.14777788620000001</v>
      </c>
      <c r="E269" s="35">
        <v>0</v>
      </c>
    </row>
    <row r="270" spans="2:5" x14ac:dyDescent="0.25">
      <c r="B270" s="35">
        <v>69.25</v>
      </c>
      <c r="C270" s="36">
        <v>-0.24218226800000001</v>
      </c>
      <c r="D270" s="36">
        <v>0.1498063939</v>
      </c>
      <c r="E270" s="35">
        <v>0</v>
      </c>
    </row>
    <row r="271" spans="2:5" x14ac:dyDescent="0.25">
      <c r="B271" s="35">
        <v>69.5</v>
      </c>
      <c r="C271" s="36">
        <v>-0.24605808100000001</v>
      </c>
      <c r="D271" s="36">
        <v>0.1518300524</v>
      </c>
      <c r="E271" s="35">
        <v>0</v>
      </c>
    </row>
    <row r="272" spans="2:5" x14ac:dyDescent="0.25">
      <c r="B272" s="35">
        <v>69.75</v>
      </c>
      <c r="C272" s="36">
        <v>-0.249932656</v>
      </c>
      <c r="D272" s="36">
        <v>0.15384883539999999</v>
      </c>
      <c r="E272" s="35">
        <v>0</v>
      </c>
    </row>
    <row r="273" spans="2:5" x14ac:dyDescent="0.25">
      <c r="B273" s="35">
        <v>70</v>
      </c>
      <c r="C273" s="36">
        <v>-0.25380573000000001</v>
      </c>
      <c r="D273" s="36">
        <v>0.15586271730000001</v>
      </c>
      <c r="E273" s="35">
        <v>0</v>
      </c>
    </row>
    <row r="274" spans="2:5" x14ac:dyDescent="0.25">
      <c r="B274" s="35">
        <v>70.25</v>
      </c>
      <c r="C274" s="36">
        <v>-0.25767704699999999</v>
      </c>
      <c r="D274" s="36">
        <v>0.15787167369999999</v>
      </c>
      <c r="E274" s="35">
        <v>0</v>
      </c>
    </row>
    <row r="275" spans="2:5" x14ac:dyDescent="0.25">
      <c r="B275" s="35">
        <v>70.5</v>
      </c>
      <c r="C275" s="36">
        <v>-0.26154635500000001</v>
      </c>
      <c r="D275" s="36">
        <v>0.15987568090000001</v>
      </c>
      <c r="E275" s="35">
        <v>0</v>
      </c>
    </row>
    <row r="276" spans="2:5" x14ac:dyDescent="0.25">
      <c r="B276" s="35">
        <v>70.75</v>
      </c>
      <c r="C276" s="36">
        <v>-0.26541340800000002</v>
      </c>
      <c r="D276" s="36">
        <v>0.16187471589999999</v>
      </c>
      <c r="E276" s="35">
        <v>0</v>
      </c>
    </row>
    <row r="277" spans="2:5" x14ac:dyDescent="0.25">
      <c r="B277" s="35">
        <v>71</v>
      </c>
      <c r="C277" s="36">
        <v>-0.26927796300000001</v>
      </c>
      <c r="D277" s="36">
        <v>0.16386875679999999</v>
      </c>
      <c r="E277" s="35">
        <v>0</v>
      </c>
    </row>
    <row r="278" spans="2:5" x14ac:dyDescent="0.25">
      <c r="B278" s="35">
        <v>71.25</v>
      </c>
      <c r="C278" s="36">
        <v>-0.273139786</v>
      </c>
      <c r="D278" s="36">
        <v>0.16585778230000001</v>
      </c>
      <c r="E278" s="35">
        <v>0</v>
      </c>
    </row>
    <row r="279" spans="2:5" x14ac:dyDescent="0.25">
      <c r="B279" s="35">
        <v>71.5</v>
      </c>
      <c r="C279" s="36">
        <v>-0.27699864499999999</v>
      </c>
      <c r="D279" s="36">
        <v>0.167841772</v>
      </c>
      <c r="E279" s="35">
        <v>0</v>
      </c>
    </row>
    <row r="280" spans="2:5" x14ac:dyDescent="0.25">
      <c r="B280" s="35">
        <v>71.75</v>
      </c>
      <c r="C280" s="36">
        <v>-0.28085431399999999</v>
      </c>
      <c r="D280" s="36">
        <v>0.16982070630000001</v>
      </c>
      <c r="E280" s="35">
        <v>0</v>
      </c>
    </row>
    <row r="281" spans="2:5" x14ac:dyDescent="0.25">
      <c r="B281" s="35">
        <v>72</v>
      </c>
      <c r="C281" s="36">
        <v>-0.28470657199999999</v>
      </c>
      <c r="D281" s="36">
        <v>0.17179456609999999</v>
      </c>
      <c r="E281" s="35">
        <v>0</v>
      </c>
    </row>
    <row r="282" spans="2:5" x14ac:dyDescent="0.25">
      <c r="B282" s="35">
        <v>72.25</v>
      </c>
      <c r="C282" s="36">
        <v>-0.28855520200000001</v>
      </c>
      <c r="D282" s="36">
        <v>0.1737633334</v>
      </c>
      <c r="E282" s="35">
        <v>0</v>
      </c>
    </row>
    <row r="283" spans="2:5" x14ac:dyDescent="0.25">
      <c r="B283" s="35">
        <v>72.5</v>
      </c>
      <c r="C283" s="36">
        <v>-0.29239999100000003</v>
      </c>
      <c r="D283" s="36">
        <v>0.17572699059999999</v>
      </c>
      <c r="E283" s="35">
        <v>0</v>
      </c>
    </row>
    <row r="284" spans="2:5" x14ac:dyDescent="0.25">
      <c r="B284" s="35">
        <v>72.75</v>
      </c>
      <c r="C284" s="36">
        <v>-0.29624073299999998</v>
      </c>
      <c r="D284" s="36">
        <v>0.17768552109999999</v>
      </c>
      <c r="E284" s="35">
        <v>0</v>
      </c>
    </row>
    <row r="285" spans="2:5" x14ac:dyDescent="0.25">
      <c r="B285" s="35">
        <v>73</v>
      </c>
      <c r="C285" s="36">
        <v>-0.30007722399999998</v>
      </c>
      <c r="D285" s="36">
        <v>0.17963890869999999</v>
      </c>
      <c r="E285" s="35">
        <v>0</v>
      </c>
    </row>
    <row r="286" spans="2:5" x14ac:dyDescent="0.25">
      <c r="B286" s="35">
        <v>73.25</v>
      </c>
      <c r="C286" s="36">
        <v>-0.30390926499999998</v>
      </c>
      <c r="D286" s="36">
        <v>0.18158713809999999</v>
      </c>
      <c r="E286" s="35">
        <v>0</v>
      </c>
    </row>
    <row r="287" spans="2:5" x14ac:dyDescent="0.25">
      <c r="B287" s="35">
        <v>73.5</v>
      </c>
      <c r="C287" s="36">
        <v>-0.30773666300000002</v>
      </c>
      <c r="D287" s="36">
        <v>0.18353019440000001</v>
      </c>
      <c r="E287" s="35">
        <v>0</v>
      </c>
    </row>
    <row r="288" spans="2:5" x14ac:dyDescent="0.25">
      <c r="B288" s="35">
        <v>73.75</v>
      </c>
      <c r="C288" s="36">
        <v>-0.31155922600000002</v>
      </c>
      <c r="D288" s="36">
        <v>0.18546806369999999</v>
      </c>
      <c r="E288" s="35">
        <v>0</v>
      </c>
    </row>
    <row r="289" spans="2:5" x14ac:dyDescent="0.25">
      <c r="B289" s="35">
        <v>74</v>
      </c>
      <c r="C289" s="36">
        <v>-0.31537676799999997</v>
      </c>
      <c r="D289" s="36">
        <v>0.18740073239999999</v>
      </c>
      <c r="E289" s="35">
        <v>0</v>
      </c>
    </row>
    <row r="290" spans="2:5" x14ac:dyDescent="0.25">
      <c r="B290" s="35">
        <v>74.25</v>
      </c>
      <c r="C290" s="36">
        <v>-0.319189108</v>
      </c>
      <c r="D290" s="36">
        <v>0.1893281876</v>
      </c>
      <c r="E290" s="35">
        <v>0</v>
      </c>
    </row>
    <row r="291" spans="2:5" x14ac:dyDescent="0.25">
      <c r="B291" s="35">
        <v>74.5</v>
      </c>
      <c r="C291" s="36">
        <v>-0.32299606600000003</v>
      </c>
      <c r="D291" s="36">
        <v>0.19125041709999999</v>
      </c>
      <c r="E291" s="35">
        <v>0</v>
      </c>
    </row>
    <row r="292" spans="2:5" x14ac:dyDescent="0.25">
      <c r="B292" s="35">
        <v>74.75</v>
      </c>
      <c r="C292" s="36">
        <v>-0.32679746799999998</v>
      </c>
      <c r="D292" s="36">
        <v>0.19316740909999999</v>
      </c>
      <c r="E292" s="35">
        <v>0</v>
      </c>
    </row>
    <row r="293" spans="2:5" x14ac:dyDescent="0.25">
      <c r="B293" s="35">
        <v>75</v>
      </c>
      <c r="C293" s="36">
        <v>-0.33059314400000001</v>
      </c>
      <c r="D293" s="36">
        <v>0.1950791526</v>
      </c>
      <c r="E293" s="35">
        <v>0</v>
      </c>
    </row>
    <row r="294" spans="2:5" x14ac:dyDescent="0.25">
      <c r="B294" s="35">
        <v>75.25</v>
      </c>
      <c r="C294" s="36">
        <v>-0.334382927</v>
      </c>
      <c r="D294" s="36">
        <v>0.1969856371</v>
      </c>
      <c r="E294" s="35">
        <v>0</v>
      </c>
    </row>
    <row r="295" spans="2:5" x14ac:dyDescent="0.25">
      <c r="B295" s="35">
        <v>75.5</v>
      </c>
      <c r="C295" s="36">
        <v>-0.33816665200000001</v>
      </c>
      <c r="D295" s="36">
        <v>0.19888685240000001</v>
      </c>
      <c r="E295" s="35">
        <v>0</v>
      </c>
    </row>
    <row r="296" spans="2:5" x14ac:dyDescent="0.25">
      <c r="B296" s="35">
        <v>75.75</v>
      </c>
      <c r="C296" s="36">
        <v>-0.34194416100000002</v>
      </c>
      <c r="D296" s="36">
        <v>0.20078278899999999</v>
      </c>
      <c r="E296" s="35">
        <v>0</v>
      </c>
    </row>
    <row r="297" spans="2:5" x14ac:dyDescent="0.25">
      <c r="B297" s="35">
        <v>76</v>
      </c>
      <c r="C297" s="36">
        <v>-0.34571529699999998</v>
      </c>
      <c r="D297" s="36">
        <v>0.20267343809999999</v>
      </c>
      <c r="E297" s="35">
        <v>0</v>
      </c>
    </row>
    <row r="298" spans="2:5" x14ac:dyDescent="0.25">
      <c r="B298" s="35">
        <v>76.25</v>
      </c>
      <c r="C298" s="36">
        <v>-0.34947990699999998</v>
      </c>
      <c r="D298" s="36">
        <v>0.20455879120000001</v>
      </c>
      <c r="E298" s="35">
        <v>0</v>
      </c>
    </row>
    <row r="299" spans="2:5" x14ac:dyDescent="0.25">
      <c r="B299" s="35">
        <v>76.5</v>
      </c>
      <c r="C299" s="36">
        <v>-0.35323784000000003</v>
      </c>
      <c r="D299" s="36">
        <v>0.20643884030000001</v>
      </c>
      <c r="E299" s="35">
        <v>0</v>
      </c>
    </row>
    <row r="300" spans="2:5" x14ac:dyDescent="0.25">
      <c r="B300" s="35">
        <v>76.75</v>
      </c>
      <c r="C300" s="36">
        <v>-0.35698895200000003</v>
      </c>
      <c r="D300" s="36">
        <v>0.20831357780000001</v>
      </c>
      <c r="E300" s="35">
        <v>0</v>
      </c>
    </row>
    <row r="301" spans="2:5" x14ac:dyDescent="0.25">
      <c r="B301" s="35">
        <v>77</v>
      </c>
      <c r="C301" s="36">
        <v>-0.360733099</v>
      </c>
      <c r="D301" s="36">
        <v>0.2101829969</v>
      </c>
      <c r="E301" s="35">
        <v>0</v>
      </c>
    </row>
    <row r="302" spans="2:5" x14ac:dyDescent="0.25">
      <c r="B302" s="35">
        <v>77.25</v>
      </c>
      <c r="C302" s="36">
        <v>-0.36447014100000003</v>
      </c>
      <c r="D302" s="36">
        <v>0.21204709099999999</v>
      </c>
      <c r="E302" s="35">
        <v>0</v>
      </c>
    </row>
    <row r="303" spans="2:5" x14ac:dyDescent="0.25">
      <c r="B303" s="35">
        <v>77.5</v>
      </c>
      <c r="C303" s="36">
        <v>-0.36819994</v>
      </c>
      <c r="D303" s="36">
        <v>0.2139058539</v>
      </c>
      <c r="E303" s="35">
        <v>0</v>
      </c>
    </row>
    <row r="304" spans="2:5" x14ac:dyDescent="0.25">
      <c r="B304" s="35">
        <v>77.75</v>
      </c>
      <c r="C304" s="36">
        <v>-0.37192236400000001</v>
      </c>
      <c r="D304" s="36">
        <v>0.21575928010000001</v>
      </c>
      <c r="E304" s="35">
        <v>0</v>
      </c>
    </row>
    <row r="305" spans="2:5" x14ac:dyDescent="0.25">
      <c r="B305" s="35">
        <v>78</v>
      </c>
      <c r="C305" s="36">
        <v>-0.37563728099999999</v>
      </c>
      <c r="D305" s="36">
        <v>0.21760736429999999</v>
      </c>
      <c r="E305" s="35">
        <v>0</v>
      </c>
    </row>
    <row r="306" spans="2:5" x14ac:dyDescent="0.25">
      <c r="B306" s="35">
        <v>78.25</v>
      </c>
      <c r="C306" s="36">
        <v>-0.37934456300000002</v>
      </c>
      <c r="D306" s="36">
        <v>0.2194501016</v>
      </c>
      <c r="E306" s="35">
        <v>0</v>
      </c>
    </row>
    <row r="307" spans="2:5" x14ac:dyDescent="0.25">
      <c r="B307" s="35">
        <v>78.5</v>
      </c>
      <c r="C307" s="36">
        <v>-0.38304408600000001</v>
      </c>
      <c r="D307" s="36">
        <v>0.2212874879</v>
      </c>
      <c r="E307" s="35">
        <v>0</v>
      </c>
    </row>
    <row r="308" spans="2:5" x14ac:dyDescent="0.25">
      <c r="B308" s="35">
        <v>78.75</v>
      </c>
      <c r="C308" s="36">
        <v>-0.386735726</v>
      </c>
      <c r="D308" s="36">
        <v>0.22311951890000001</v>
      </c>
      <c r="E308" s="35">
        <v>0</v>
      </c>
    </row>
    <row r="309" spans="2:5" x14ac:dyDescent="0.25">
      <c r="B309" s="35">
        <v>79</v>
      </c>
      <c r="C309" s="36">
        <v>-0.39041936500000002</v>
      </c>
      <c r="D309" s="36">
        <v>0.22494619120000001</v>
      </c>
      <c r="E309" s="35">
        <v>0</v>
      </c>
    </row>
    <row r="310" spans="2:5" x14ac:dyDescent="0.25">
      <c r="B310" s="35">
        <v>79.25</v>
      </c>
      <c r="C310" s="36">
        <v>-0.39409488599999998</v>
      </c>
      <c r="D310" s="36">
        <v>0.2267675016</v>
      </c>
      <c r="E310" s="35">
        <v>0</v>
      </c>
    </row>
    <row r="311" spans="2:5" x14ac:dyDescent="0.25">
      <c r="B311" s="35">
        <v>79.5</v>
      </c>
      <c r="C311" s="36">
        <v>-0.39776217400000002</v>
      </c>
      <c r="D311" s="36">
        <v>0.22858344720000001</v>
      </c>
      <c r="E311" s="35">
        <v>0</v>
      </c>
    </row>
    <row r="312" spans="2:5" x14ac:dyDescent="0.25">
      <c r="B312" s="35">
        <v>79.75</v>
      </c>
      <c r="C312" s="36">
        <v>-0.40142111800000002</v>
      </c>
      <c r="D312" s="36">
        <v>0.2303940256</v>
      </c>
      <c r="E312" s="35">
        <v>0</v>
      </c>
    </row>
    <row r="313" spans="2:5" x14ac:dyDescent="0.25">
      <c r="B313" s="35">
        <v>80</v>
      </c>
      <c r="C313" s="36">
        <v>-0.40507160800000003</v>
      </c>
      <c r="D313" s="36">
        <v>0.2321992346</v>
      </c>
      <c r="E313" s="35">
        <v>0</v>
      </c>
    </row>
    <row r="314" spans="2:5" x14ac:dyDescent="0.25">
      <c r="B314" s="35">
        <v>80.25</v>
      </c>
      <c r="C314" s="36">
        <v>-0.40871353900000001</v>
      </c>
      <c r="D314" s="36">
        <v>0.2339990726</v>
      </c>
      <c r="E314" s="35">
        <v>0</v>
      </c>
    </row>
    <row r="315" spans="2:5" x14ac:dyDescent="0.25">
      <c r="B315" s="35">
        <v>80.5</v>
      </c>
      <c r="C315" s="36">
        <v>-0.41234680600000001</v>
      </c>
      <c r="D315" s="36">
        <v>0.235793538</v>
      </c>
      <c r="E315" s="35">
        <v>0</v>
      </c>
    </row>
    <row r="316" spans="2:5" x14ac:dyDescent="0.25">
      <c r="B316" s="35">
        <v>80.75</v>
      </c>
      <c r="C316" s="36">
        <v>-0.41597130700000001</v>
      </c>
      <c r="D316" s="36">
        <v>0.2375826298</v>
      </c>
      <c r="E316" s="35">
        <v>0</v>
      </c>
    </row>
    <row r="317" spans="2:5" x14ac:dyDescent="0.25">
      <c r="B317" s="35">
        <v>81</v>
      </c>
      <c r="C317" s="36">
        <v>-0.41958694299999999</v>
      </c>
      <c r="D317" s="36">
        <v>0.23936634740000001</v>
      </c>
      <c r="E317" s="35">
        <v>0</v>
      </c>
    </row>
    <row r="318" spans="2:5" x14ac:dyDescent="0.25">
      <c r="B318" s="35">
        <v>81.25</v>
      </c>
      <c r="C318" s="36">
        <v>-0.42319361799999999</v>
      </c>
      <c r="D318" s="36">
        <v>0.2411446901</v>
      </c>
      <c r="E318" s="35">
        <v>0</v>
      </c>
    </row>
    <row r="319" spans="2:5" x14ac:dyDescent="0.25">
      <c r="B319" s="35">
        <v>81.5</v>
      </c>
      <c r="C319" s="36">
        <v>-0.42679123499999999</v>
      </c>
      <c r="D319" s="36">
        <v>0.2429176579</v>
      </c>
      <c r="E319" s="35">
        <v>0</v>
      </c>
    </row>
    <row r="320" spans="2:5" x14ac:dyDescent="0.25">
      <c r="B320" s="35">
        <v>81.75</v>
      </c>
      <c r="C320" s="36">
        <v>-0.43037970399999997</v>
      </c>
      <c r="D320" s="36">
        <v>0.2446852511</v>
      </c>
      <c r="E320" s="35">
        <v>0</v>
      </c>
    </row>
    <row r="321" spans="2:5" x14ac:dyDescent="0.25">
      <c r="B321" s="35">
        <v>82</v>
      </c>
      <c r="C321" s="36">
        <v>-0.43395893800000002</v>
      </c>
      <c r="D321" s="36">
        <v>0.24644747140000001</v>
      </c>
      <c r="E321" s="35">
        <v>0</v>
      </c>
    </row>
    <row r="322" spans="2:5" x14ac:dyDescent="0.25">
      <c r="B322" s="35">
        <v>82.25</v>
      </c>
      <c r="C322" s="36">
        <v>-0.43752891700000002</v>
      </c>
      <c r="D322" s="36">
        <v>0.248204339</v>
      </c>
      <c r="E322" s="35">
        <v>0</v>
      </c>
    </row>
    <row r="323" spans="2:5" x14ac:dyDescent="0.25">
      <c r="B323" s="35">
        <v>82.5</v>
      </c>
      <c r="C323" s="36">
        <v>-0.44108966500000002</v>
      </c>
      <c r="D323" s="36">
        <v>0.24995588560000001</v>
      </c>
      <c r="E323" s="35">
        <v>0</v>
      </c>
    </row>
    <row r="324" spans="2:5" x14ac:dyDescent="0.25">
      <c r="B324" s="35">
        <v>82.75</v>
      </c>
      <c r="C324" s="36">
        <v>-0.44464120600000001</v>
      </c>
      <c r="D324" s="36">
        <v>0.2517021431</v>
      </c>
      <c r="E324" s="35">
        <v>0</v>
      </c>
    </row>
    <row r="325" spans="2:5" x14ac:dyDescent="0.25">
      <c r="B325" s="35">
        <v>83</v>
      </c>
      <c r="C325" s="36">
        <v>-0.44818356399999998</v>
      </c>
      <c r="D325" s="36">
        <v>0.25344314309999999</v>
      </c>
      <c r="E325" s="35">
        <v>0</v>
      </c>
    </row>
    <row r="326" spans="2:5" x14ac:dyDescent="0.25">
      <c r="B326" s="35">
        <v>83.25</v>
      </c>
      <c r="C326" s="36">
        <v>-0.45171676300000002</v>
      </c>
      <c r="D326" s="36">
        <v>0.25517891669999998</v>
      </c>
      <c r="E326" s="35">
        <v>0</v>
      </c>
    </row>
    <row r="327" spans="2:5" x14ac:dyDescent="0.25">
      <c r="B327" s="35">
        <v>83.5</v>
      </c>
      <c r="C327" s="36">
        <v>-0.45524082799999999</v>
      </c>
      <c r="D327" s="36">
        <v>0.25690949499999999</v>
      </c>
      <c r="E327" s="35">
        <v>0</v>
      </c>
    </row>
    <row r="328" spans="2:5" x14ac:dyDescent="0.25">
      <c r="B328" s="35">
        <v>83.75</v>
      </c>
      <c r="C328" s="36">
        <v>-0.45875578299999997</v>
      </c>
      <c r="D328" s="36">
        <v>0.25863490859999999</v>
      </c>
      <c r="E328" s="35">
        <v>0</v>
      </c>
    </row>
    <row r="329" spans="2:5" x14ac:dyDescent="0.25">
      <c r="B329" s="35">
        <v>84</v>
      </c>
      <c r="C329" s="36">
        <v>-0.46226165200000002</v>
      </c>
      <c r="D329" s="36">
        <v>0.26035518790000001</v>
      </c>
      <c r="E329" s="35">
        <v>0</v>
      </c>
    </row>
    <row r="330" spans="2:5" x14ac:dyDescent="0.25">
      <c r="B330" s="35">
        <v>84.25</v>
      </c>
      <c r="C330" s="36">
        <v>-0.46575845900000001</v>
      </c>
      <c r="D330" s="36">
        <v>0.26207036319999999</v>
      </c>
      <c r="E330" s="35">
        <v>0</v>
      </c>
    </row>
    <row r="331" spans="2:5" x14ac:dyDescent="0.25">
      <c r="B331" s="35">
        <v>84.5</v>
      </c>
      <c r="C331" s="36">
        <v>-0.46924622999999999</v>
      </c>
      <c r="D331" s="36">
        <v>0.26378046430000002</v>
      </c>
      <c r="E331" s="35">
        <v>0</v>
      </c>
    </row>
    <row r="332" spans="2:5" x14ac:dyDescent="0.25">
      <c r="B332" s="35">
        <v>84.75</v>
      </c>
      <c r="C332" s="36">
        <v>-0.47272498899999998</v>
      </c>
      <c r="D332" s="36">
        <v>0.26548552079999999</v>
      </c>
      <c r="E332" s="35">
        <v>0</v>
      </c>
    </row>
    <row r="333" spans="2:5" x14ac:dyDescent="0.25">
      <c r="B333" s="35">
        <v>85</v>
      </c>
      <c r="C333" s="36">
        <v>-0.47619475900000002</v>
      </c>
      <c r="D333" s="36">
        <v>0.2671855622</v>
      </c>
      <c r="E333" s="35">
        <v>0</v>
      </c>
    </row>
    <row r="334" spans="2:5" x14ac:dyDescent="0.25">
      <c r="B334" s="35">
        <v>85.25</v>
      </c>
      <c r="C334" s="36">
        <v>-0.47965556599999998</v>
      </c>
      <c r="D334" s="36">
        <v>0.26888061749999997</v>
      </c>
      <c r="E334" s="35">
        <v>0</v>
      </c>
    </row>
    <row r="335" spans="2:5" x14ac:dyDescent="0.25">
      <c r="B335" s="35">
        <v>85.5</v>
      </c>
      <c r="C335" s="36">
        <v>-0.48310743499999997</v>
      </c>
      <c r="D335" s="36">
        <v>0.27057071560000001</v>
      </c>
      <c r="E335" s="35">
        <v>0</v>
      </c>
    </row>
    <row r="336" spans="2:5" x14ac:dyDescent="0.25">
      <c r="B336" s="35">
        <v>85.75</v>
      </c>
      <c r="C336" s="36">
        <v>-0.48655038900000003</v>
      </c>
      <c r="D336" s="36">
        <v>0.27225588499999998</v>
      </c>
      <c r="E336" s="35">
        <v>0</v>
      </c>
    </row>
    <row r="337" spans="2:5" x14ac:dyDescent="0.25">
      <c r="B337" s="35">
        <v>86</v>
      </c>
      <c r="C337" s="36">
        <v>-0.48998445299999999</v>
      </c>
      <c r="D337" s="36">
        <v>0.27393615430000001</v>
      </c>
      <c r="E337" s="35">
        <v>0</v>
      </c>
    </row>
    <row r="338" spans="2:5" x14ac:dyDescent="0.25">
      <c r="B338" s="35">
        <v>86.25</v>
      </c>
      <c r="C338" s="36">
        <v>-0.493409653</v>
      </c>
      <c r="D338" s="36">
        <v>0.27561155139999999</v>
      </c>
      <c r="E338" s="35">
        <v>0</v>
      </c>
    </row>
    <row r="339" spans="2:5" x14ac:dyDescent="0.25">
      <c r="B339" s="35">
        <v>86.5</v>
      </c>
      <c r="C339" s="36">
        <v>-0.49682601100000001</v>
      </c>
      <c r="D339" s="36">
        <v>0.27728210440000001</v>
      </c>
      <c r="E339" s="35">
        <v>0</v>
      </c>
    </row>
    <row r="340" spans="2:5" x14ac:dyDescent="0.25">
      <c r="B340" s="35">
        <v>86.75</v>
      </c>
      <c r="C340" s="36">
        <v>-0.50023355400000002</v>
      </c>
      <c r="D340" s="36">
        <v>0.2789478407</v>
      </c>
      <c r="E340" s="35">
        <v>0</v>
      </c>
    </row>
    <row r="341" spans="2:5" x14ac:dyDescent="0.25">
      <c r="B341" s="35">
        <v>87</v>
      </c>
      <c r="C341" s="36">
        <v>-0.50363230599999997</v>
      </c>
      <c r="D341" s="36">
        <v>0.28060878789999999</v>
      </c>
      <c r="E341" s="35">
        <v>0</v>
      </c>
    </row>
    <row r="342" spans="2:5" x14ac:dyDescent="0.25">
      <c r="B342" s="35">
        <v>87.25</v>
      </c>
      <c r="C342" s="36">
        <v>-0.50702229099999996</v>
      </c>
      <c r="D342" s="36">
        <v>0.28226497299999997</v>
      </c>
      <c r="E342" s="35">
        <v>0</v>
      </c>
    </row>
    <row r="343" spans="2:5" x14ac:dyDescent="0.25">
      <c r="B343" s="35">
        <v>87.5</v>
      </c>
      <c r="C343" s="36">
        <v>-0.51040353400000005</v>
      </c>
      <c r="D343" s="36">
        <v>0.28391642309999998</v>
      </c>
      <c r="E343" s="35">
        <v>0</v>
      </c>
    </row>
    <row r="344" spans="2:5" x14ac:dyDescent="0.25">
      <c r="B344" s="35">
        <v>87.75</v>
      </c>
      <c r="C344" s="36">
        <v>-0.51377605900000001</v>
      </c>
      <c r="D344" s="36">
        <v>0.2855631649</v>
      </c>
      <c r="E344" s="35">
        <v>0</v>
      </c>
    </row>
    <row r="345" spans="2:5" x14ac:dyDescent="0.25">
      <c r="B345" s="35">
        <v>88</v>
      </c>
      <c r="C345" s="36">
        <v>-0.51713989199999999</v>
      </c>
      <c r="D345" s="36">
        <v>0.28720522479999999</v>
      </c>
      <c r="E345" s="35">
        <v>0</v>
      </c>
    </row>
    <row r="346" spans="2:5" x14ac:dyDescent="0.25">
      <c r="B346" s="35">
        <v>88.25</v>
      </c>
      <c r="C346" s="36">
        <v>-0.52049505699999998</v>
      </c>
      <c r="D346" s="36">
        <v>0.28884262910000003</v>
      </c>
      <c r="E346" s="35">
        <v>0</v>
      </c>
    </row>
    <row r="347" spans="2:5" x14ac:dyDescent="0.25">
      <c r="B347" s="35">
        <v>88.5</v>
      </c>
      <c r="C347" s="36">
        <v>-0.52384157799999997</v>
      </c>
      <c r="D347" s="36">
        <v>0.29047540379999998</v>
      </c>
      <c r="E347" s="35">
        <v>0</v>
      </c>
    </row>
    <row r="348" spans="2:5" x14ac:dyDescent="0.25">
      <c r="B348" s="35">
        <v>88.75</v>
      </c>
      <c r="C348" s="36">
        <v>-0.52717948000000003</v>
      </c>
      <c r="D348" s="36">
        <v>0.29210357479999999</v>
      </c>
      <c r="E348" s="35">
        <v>0</v>
      </c>
    </row>
    <row r="349" spans="2:5" x14ac:dyDescent="0.25">
      <c r="B349" s="35">
        <v>89</v>
      </c>
      <c r="C349" s="36">
        <v>-0.53050878700000004</v>
      </c>
      <c r="D349" s="36">
        <v>0.29372716770000001</v>
      </c>
      <c r="E349" s="35">
        <v>0</v>
      </c>
    </row>
    <row r="350" spans="2:5" x14ac:dyDescent="0.25">
      <c r="B350" s="35">
        <v>89.25</v>
      </c>
      <c r="C350" s="36">
        <v>-0.53382952500000003</v>
      </c>
      <c r="D350" s="36">
        <v>0.29534620789999999</v>
      </c>
      <c r="E350" s="35">
        <v>0</v>
      </c>
    </row>
    <row r="351" spans="2:5" x14ac:dyDescent="0.25">
      <c r="B351" s="35">
        <v>89.5</v>
      </c>
      <c r="C351" s="36">
        <v>-0.53714171799999999</v>
      </c>
      <c r="D351" s="36">
        <v>0.29696072060000001</v>
      </c>
      <c r="E351" s="35">
        <v>0</v>
      </c>
    </row>
    <row r="352" spans="2:5" x14ac:dyDescent="0.25">
      <c r="B352" s="35">
        <v>89.75</v>
      </c>
      <c r="C352" s="36">
        <v>-0.54044539000000003</v>
      </c>
      <c r="D352" s="36">
        <v>0.29857073070000001</v>
      </c>
      <c r="E352" s="35">
        <v>0</v>
      </c>
    </row>
    <row r="353" spans="2:5" x14ac:dyDescent="0.25">
      <c r="B353" s="35">
        <v>90</v>
      </c>
      <c r="C353" s="36">
        <v>-0.54374056599999998</v>
      </c>
      <c r="D353" s="36">
        <v>0.300176263</v>
      </c>
      <c r="E353" s="35">
        <v>0</v>
      </c>
    </row>
    <row r="354" spans="2:5" x14ac:dyDescent="0.25">
      <c r="B354" s="35"/>
      <c r="C354" s="36"/>
      <c r="D354" s="36"/>
      <c r="E354" s="35"/>
    </row>
    <row r="355" spans="2:5" x14ac:dyDescent="0.25">
      <c r="B355" s="35"/>
      <c r="C355" s="36"/>
      <c r="D355" s="36"/>
      <c r="E355" s="35"/>
    </row>
    <row r="356" spans="2:5" x14ac:dyDescent="0.25">
      <c r="B356" s="35"/>
      <c r="C356" s="36"/>
      <c r="D356" s="36"/>
      <c r="E356" s="35"/>
    </row>
    <row r="357" spans="2:5" x14ac:dyDescent="0.25">
      <c r="B357" s="35"/>
      <c r="C357" s="36"/>
      <c r="D357" s="36"/>
      <c r="E357" s="35"/>
    </row>
    <row r="358" spans="2:5" x14ac:dyDescent="0.25">
      <c r="B358" s="35"/>
      <c r="C358" s="36"/>
      <c r="D358" s="36"/>
      <c r="E358" s="35"/>
    </row>
    <row r="359" spans="2:5" x14ac:dyDescent="0.25">
      <c r="B359" s="35"/>
      <c r="C359" s="36"/>
      <c r="D359" s="36"/>
      <c r="E359" s="35"/>
    </row>
    <row r="360" spans="2:5" x14ac:dyDescent="0.25">
      <c r="B360" s="35"/>
      <c r="C360" s="36"/>
      <c r="D360" s="36"/>
      <c r="E360" s="35"/>
    </row>
    <row r="361" spans="2:5" x14ac:dyDescent="0.25">
      <c r="B361" s="35"/>
      <c r="C361" s="36"/>
      <c r="D361" s="36"/>
      <c r="E361" s="35"/>
    </row>
    <row r="362" spans="2:5" x14ac:dyDescent="0.25">
      <c r="B362" s="35"/>
      <c r="C362" s="36"/>
      <c r="D362" s="36"/>
      <c r="E362" s="35"/>
    </row>
    <row r="363" spans="2:5" x14ac:dyDescent="0.25">
      <c r="B363" s="35"/>
      <c r="C363" s="36"/>
      <c r="D363" s="36"/>
      <c r="E363" s="35"/>
    </row>
    <row r="364" spans="2:5" x14ac:dyDescent="0.25">
      <c r="B364" s="35"/>
      <c r="C364" s="36"/>
      <c r="D364" s="36"/>
      <c r="E364" s="35"/>
    </row>
    <row r="365" spans="2:5" x14ac:dyDescent="0.25">
      <c r="B365" s="35"/>
      <c r="C365" s="36"/>
      <c r="D365" s="36"/>
      <c r="E365" s="35"/>
    </row>
    <row r="366" spans="2:5" x14ac:dyDescent="0.25">
      <c r="B366" s="35"/>
      <c r="C366" s="36"/>
      <c r="D366" s="36"/>
      <c r="E366" s="35"/>
    </row>
    <row r="367" spans="2:5" x14ac:dyDescent="0.25">
      <c r="B367" s="35"/>
      <c r="C367" s="36"/>
      <c r="D367" s="36"/>
      <c r="E367" s="35"/>
    </row>
    <row r="368" spans="2:5" x14ac:dyDescent="0.25">
      <c r="B368" s="35"/>
      <c r="C368" s="36"/>
      <c r="D368" s="36"/>
      <c r="E368" s="35"/>
    </row>
    <row r="369" spans="2:5" x14ac:dyDescent="0.25">
      <c r="B369" s="35"/>
      <c r="C369" s="36"/>
      <c r="D369" s="36"/>
      <c r="E369" s="35"/>
    </row>
    <row r="370" spans="2:5" x14ac:dyDescent="0.25">
      <c r="B370" s="35"/>
      <c r="C370" s="36"/>
      <c r="D370" s="36"/>
      <c r="E370" s="35"/>
    </row>
    <row r="371" spans="2:5" x14ac:dyDescent="0.25">
      <c r="B371" s="35"/>
      <c r="C371" s="36"/>
      <c r="D371" s="36"/>
      <c r="E371" s="35"/>
    </row>
    <row r="372" spans="2:5" x14ac:dyDescent="0.25">
      <c r="B372" s="35"/>
      <c r="C372" s="36"/>
      <c r="D372" s="36"/>
      <c r="E372" s="35"/>
    </row>
    <row r="373" spans="2:5" x14ac:dyDescent="0.25">
      <c r="B373" s="35"/>
      <c r="C373" s="36"/>
      <c r="D373" s="36"/>
      <c r="E373" s="35"/>
    </row>
  </sheetData>
  <mergeCells count="11">
    <mergeCell ref="U3:V3"/>
    <mergeCell ref="X3:Y3"/>
    <mergeCell ref="B1:E1"/>
    <mergeCell ref="G1:O1"/>
    <mergeCell ref="Q1:Y1"/>
    <mergeCell ref="H2:O2"/>
    <mergeCell ref="R2:Y2"/>
    <mergeCell ref="H3:I3"/>
    <mergeCell ref="K3:L3"/>
    <mergeCell ref="N3:O3"/>
    <mergeCell ref="R3:S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694D9-18E9-4653-AC1E-436795A3F7AD}">
  <dimension ref="B1:Y371"/>
  <sheetViews>
    <sheetView workbookViewId="0">
      <selection activeCell="S17" sqref="S17"/>
    </sheetView>
  </sheetViews>
  <sheetFormatPr defaultColWidth="9.109375" defaultRowHeight="12" x14ac:dyDescent="0.25"/>
  <cols>
    <col min="1" max="2" width="9.109375" style="1"/>
    <col min="3" max="5" width="9.109375" style="89"/>
    <col min="6" max="6" width="9.109375" style="1"/>
    <col min="7" max="7" width="11.88671875" style="1" customWidth="1"/>
    <col min="8" max="8" width="9.109375" style="1"/>
    <col min="9" max="9" width="9.109375" style="89"/>
    <col min="10" max="11" width="9.109375" style="1"/>
    <col min="12" max="12" width="9.109375" style="89"/>
    <col min="13" max="14" width="9.109375" style="1"/>
    <col min="15" max="15" width="9.109375" style="89"/>
    <col min="16" max="16384" width="9.109375" style="1"/>
  </cols>
  <sheetData>
    <row r="1" spans="2:25" ht="15.6" thickTop="1" thickBot="1" x14ac:dyDescent="0.35">
      <c r="B1" s="141" t="s">
        <v>159</v>
      </c>
      <c r="C1" s="142"/>
      <c r="D1" s="142"/>
      <c r="E1" s="143"/>
      <c r="G1" s="141" t="s">
        <v>163</v>
      </c>
      <c r="H1" s="142"/>
      <c r="I1" s="142"/>
      <c r="J1" s="142"/>
      <c r="K1" s="142"/>
      <c r="L1" s="142"/>
      <c r="M1" s="142"/>
      <c r="N1" s="142"/>
      <c r="O1" s="143"/>
      <c r="Q1" s="141" t="s">
        <v>164</v>
      </c>
      <c r="R1" s="142"/>
      <c r="S1" s="142"/>
      <c r="T1" s="142"/>
      <c r="U1" s="142"/>
      <c r="V1" s="142"/>
      <c r="W1" s="142"/>
      <c r="X1" s="142"/>
      <c r="Y1" s="143"/>
    </row>
    <row r="2" spans="2:25" ht="15" thickTop="1" x14ac:dyDescent="0.3">
      <c r="B2" s="39" t="s">
        <v>0</v>
      </c>
      <c r="C2" s="36" t="s">
        <v>35</v>
      </c>
      <c r="D2" s="36" t="s">
        <v>33</v>
      </c>
      <c r="E2" s="36" t="s">
        <v>34</v>
      </c>
      <c r="G2" s="40"/>
      <c r="H2" s="144" t="s">
        <v>47</v>
      </c>
      <c r="I2" s="145"/>
      <c r="J2" s="145"/>
      <c r="K2" s="145"/>
      <c r="L2" s="145"/>
      <c r="M2" s="145"/>
      <c r="N2" s="146"/>
      <c r="O2" s="147"/>
      <c r="Q2" s="40"/>
      <c r="R2" s="145" t="s">
        <v>47</v>
      </c>
      <c r="S2" s="145"/>
      <c r="T2" s="145"/>
      <c r="U2" s="145"/>
      <c r="V2" s="145"/>
      <c r="W2" s="145"/>
      <c r="X2" s="145"/>
      <c r="Y2" s="148"/>
    </row>
    <row r="3" spans="2:25" ht="14.4" x14ac:dyDescent="0.25">
      <c r="B3" s="35">
        <v>3</v>
      </c>
      <c r="C3" s="36">
        <v>-0.52351519999999996</v>
      </c>
      <c r="D3" s="36">
        <v>-0.62783831970000004</v>
      </c>
      <c r="E3" s="36">
        <v>-3.1700696700000002</v>
      </c>
      <c r="G3" s="42"/>
      <c r="H3" s="158" t="s">
        <v>41</v>
      </c>
      <c r="I3" s="159"/>
      <c r="K3" s="160" t="s">
        <v>42</v>
      </c>
      <c r="L3" s="159"/>
      <c r="N3" s="161" t="s">
        <v>43</v>
      </c>
      <c r="O3" s="162"/>
      <c r="Q3" s="41"/>
      <c r="R3" s="149" t="s">
        <v>33</v>
      </c>
      <c r="S3" s="150"/>
      <c r="U3" s="149" t="s">
        <v>34</v>
      </c>
      <c r="V3" s="150"/>
      <c r="X3" s="149" t="s">
        <v>35</v>
      </c>
      <c r="Y3" s="150"/>
    </row>
    <row r="4" spans="2:25" x14ac:dyDescent="0.25">
      <c r="B4" s="35">
        <v>3.25</v>
      </c>
      <c r="C4" s="36">
        <v>-0.48112500000000002</v>
      </c>
      <c r="D4" s="36">
        <v>-0.61443547529999998</v>
      </c>
      <c r="E4" s="36">
        <v>-3.03212298</v>
      </c>
      <c r="G4" s="48" t="s">
        <v>1</v>
      </c>
      <c r="H4" s="49" t="s">
        <v>2</v>
      </c>
      <c r="I4" s="102">
        <v>-8.2711299999999994</v>
      </c>
      <c r="K4" s="51" t="s">
        <v>27</v>
      </c>
      <c r="L4" s="102">
        <v>4.1542599999999998</v>
      </c>
      <c r="N4" s="51" t="s">
        <v>31</v>
      </c>
      <c r="O4" s="102">
        <v>0.70879999999999999</v>
      </c>
      <c r="Q4" s="41" t="s">
        <v>1</v>
      </c>
      <c r="R4" s="43" t="s">
        <v>8</v>
      </c>
      <c r="S4" s="44">
        <v>0.80003999999999997</v>
      </c>
      <c r="T4" s="45"/>
      <c r="U4" s="46" t="s">
        <v>14</v>
      </c>
      <c r="V4" s="44">
        <v>-2.5090020000000002</v>
      </c>
      <c r="W4" s="2"/>
      <c r="X4" s="43" t="s">
        <v>20</v>
      </c>
      <c r="Y4" s="44">
        <v>-0.67878000000000005</v>
      </c>
    </row>
    <row r="5" spans="2:25" x14ac:dyDescent="0.25">
      <c r="B5" s="35">
        <v>3.5</v>
      </c>
      <c r="C5" s="36">
        <v>-0.44195709999999999</v>
      </c>
      <c r="D5" s="36">
        <v>-0.60004987949999999</v>
      </c>
      <c r="E5" s="36">
        <v>-2.9043743100000001</v>
      </c>
      <c r="G5" s="48" t="s">
        <v>49</v>
      </c>
      <c r="H5" s="49" t="s">
        <v>3</v>
      </c>
      <c r="I5" s="102">
        <v>2.0091700000000001</v>
      </c>
      <c r="K5" s="52"/>
      <c r="L5" s="116"/>
      <c r="N5" s="51"/>
      <c r="O5" s="102"/>
      <c r="Q5" s="41" t="s">
        <v>67</v>
      </c>
      <c r="R5" s="43" t="s">
        <v>9</v>
      </c>
      <c r="S5" s="50">
        <v>-6.2295100000000003</v>
      </c>
      <c r="T5" s="45"/>
      <c r="U5" s="46" t="s">
        <v>15</v>
      </c>
      <c r="V5" s="44">
        <v>18.413505000000001</v>
      </c>
      <c r="X5" s="43" t="s">
        <v>21</v>
      </c>
      <c r="Y5" s="44">
        <v>11.931010000000001</v>
      </c>
    </row>
    <row r="6" spans="2:25" ht="13.8" x14ac:dyDescent="0.25">
      <c r="B6" s="35">
        <v>3.75</v>
      </c>
      <c r="C6" s="36">
        <v>-0.40560049999999997</v>
      </c>
      <c r="D6" s="36">
        <v>-0.58530221780000002</v>
      </c>
      <c r="E6" s="36">
        <v>-2.78541872</v>
      </c>
      <c r="G6" s="48" t="s">
        <v>48</v>
      </c>
      <c r="H6" s="49" t="s">
        <v>4</v>
      </c>
      <c r="I6" s="102">
        <v>-0.52522000000000002</v>
      </c>
      <c r="K6" s="51" t="s">
        <v>28</v>
      </c>
      <c r="L6" s="102">
        <v>-1.8153699999999999</v>
      </c>
      <c r="N6" s="51" t="s">
        <v>32</v>
      </c>
      <c r="O6" s="102">
        <v>-0.1462</v>
      </c>
      <c r="Q6" s="41" t="s">
        <v>68</v>
      </c>
      <c r="R6" s="43" t="s">
        <v>10</v>
      </c>
      <c r="S6" s="44">
        <v>30.770910000000001</v>
      </c>
      <c r="T6" s="45"/>
      <c r="U6" s="46" t="s">
        <v>16</v>
      </c>
      <c r="V6" s="44">
        <v>-32.037973999999998</v>
      </c>
      <c r="X6" s="43" t="s">
        <v>22</v>
      </c>
      <c r="Y6" s="44">
        <v>-74.678120000000007</v>
      </c>
    </row>
    <row r="7" spans="2:25" ht="13.8" x14ac:dyDescent="0.25">
      <c r="B7" s="35">
        <v>4</v>
      </c>
      <c r="C7" s="36">
        <v>-0.37177359999999998</v>
      </c>
      <c r="D7" s="36">
        <v>-0.5709076058</v>
      </c>
      <c r="E7" s="36">
        <v>-2.67411339</v>
      </c>
      <c r="G7" s="48" t="s">
        <v>50</v>
      </c>
      <c r="H7" s="49" t="s">
        <v>5</v>
      </c>
      <c r="I7" s="102">
        <v>-0.30043999999999998</v>
      </c>
      <c r="K7" s="51" t="s">
        <v>29</v>
      </c>
      <c r="L7" s="102">
        <v>0.13300999999999999</v>
      </c>
      <c r="N7" s="51" t="s">
        <v>26</v>
      </c>
      <c r="O7" s="103" t="s">
        <v>35</v>
      </c>
      <c r="Q7" s="41" t="s">
        <v>69</v>
      </c>
      <c r="R7" s="43" t="s">
        <v>11</v>
      </c>
      <c r="S7" s="44">
        <v>-70.839950000000002</v>
      </c>
      <c r="T7" s="45"/>
      <c r="U7" s="46" t="s">
        <v>17</v>
      </c>
      <c r="V7" s="44">
        <v>40.307780000000001</v>
      </c>
      <c r="X7" s="43" t="s">
        <v>23</v>
      </c>
      <c r="Y7" s="44">
        <v>241.12565000000001</v>
      </c>
    </row>
    <row r="8" spans="2:25" ht="13.8" x14ac:dyDescent="0.25">
      <c r="B8" s="35">
        <v>4.25</v>
      </c>
      <c r="C8" s="36">
        <v>-0.34028510000000001</v>
      </c>
      <c r="D8" s="36">
        <v>-0.55728468330000003</v>
      </c>
      <c r="E8" s="36">
        <v>-2.5695222499999999</v>
      </c>
      <c r="G8" s="48" t="s">
        <v>51</v>
      </c>
      <c r="H8" s="49" t="s">
        <v>6</v>
      </c>
      <c r="I8" s="102">
        <v>4.9599999999999998E-2</v>
      </c>
      <c r="K8" s="51" t="s">
        <v>30</v>
      </c>
      <c r="L8" s="102">
        <v>-0.15146999999999999</v>
      </c>
      <c r="N8" s="51"/>
      <c r="O8" s="88"/>
      <c r="Q8" s="41" t="s">
        <v>70</v>
      </c>
      <c r="R8" s="43" t="s">
        <v>12</v>
      </c>
      <c r="S8" s="44">
        <v>66.984020000000001</v>
      </c>
      <c r="T8" s="45"/>
      <c r="U8" s="46" t="s">
        <v>18</v>
      </c>
      <c r="V8" s="44">
        <v>-28.637532</v>
      </c>
      <c r="X8" s="43" t="s">
        <v>24</v>
      </c>
      <c r="Y8" s="44">
        <v>-443.14769999999999</v>
      </c>
    </row>
    <row r="9" spans="2:25" ht="13.8" x14ac:dyDescent="0.25">
      <c r="B9" s="35">
        <v>4.5</v>
      </c>
      <c r="C9" s="36">
        <v>-0.31095640000000002</v>
      </c>
      <c r="D9" s="36">
        <v>-0.54477255209999997</v>
      </c>
      <c r="E9" s="36">
        <v>-2.47087331</v>
      </c>
      <c r="G9" s="48" t="s">
        <v>52</v>
      </c>
      <c r="H9" s="49" t="s">
        <v>38</v>
      </c>
      <c r="I9" s="102">
        <v>7.0440000000000003E-2</v>
      </c>
      <c r="K9" s="51" t="s">
        <v>44</v>
      </c>
      <c r="L9" s="102">
        <v>-3.669E-2</v>
      </c>
      <c r="N9" s="51"/>
      <c r="O9" s="88"/>
      <c r="Q9" s="41" t="s">
        <v>71</v>
      </c>
      <c r="R9" s="43" t="s">
        <v>13</v>
      </c>
      <c r="S9" s="44">
        <v>-22.623090000000001</v>
      </c>
      <c r="T9" s="45"/>
      <c r="U9" s="46" t="s">
        <v>19</v>
      </c>
      <c r="V9" s="44">
        <v>8.4338259999999998</v>
      </c>
      <c r="X9" s="43" t="s">
        <v>25</v>
      </c>
      <c r="Y9" s="44">
        <v>466.23860000000002</v>
      </c>
    </row>
    <row r="10" spans="2:25" ht="13.8" x14ac:dyDescent="0.25">
      <c r="B10" s="35">
        <v>4.75</v>
      </c>
      <c r="C10" s="36">
        <v>-0.2836168</v>
      </c>
      <c r="D10" s="36">
        <v>-0.53361252150000005</v>
      </c>
      <c r="E10" s="36">
        <v>-2.3775311700000001</v>
      </c>
      <c r="G10" s="132" t="s">
        <v>171</v>
      </c>
      <c r="H10" s="51" t="s">
        <v>169</v>
      </c>
      <c r="I10" s="88">
        <v>-2.7199999999999998E-2</v>
      </c>
      <c r="K10" s="51" t="s">
        <v>170</v>
      </c>
      <c r="L10" s="88">
        <v>-3.8100000000000002E-2</v>
      </c>
      <c r="N10" s="51"/>
      <c r="O10" s="88"/>
      <c r="Q10" s="41" t="s">
        <v>72</v>
      </c>
      <c r="R10" s="43"/>
      <c r="S10" s="53"/>
      <c r="U10" s="43"/>
      <c r="V10" s="54"/>
      <c r="X10" s="43" t="s">
        <v>39</v>
      </c>
      <c r="Y10" s="67">
        <v>-261.94216</v>
      </c>
    </row>
    <row r="11" spans="2:25" ht="13.8" x14ac:dyDescent="0.25">
      <c r="B11" s="35">
        <v>5</v>
      </c>
      <c r="C11" s="36">
        <v>-0.25815310000000002</v>
      </c>
      <c r="D11" s="36">
        <v>-0.52381887329999999</v>
      </c>
      <c r="E11" s="36">
        <v>-2.28896788</v>
      </c>
      <c r="G11" s="56"/>
      <c r="H11" s="57"/>
      <c r="I11" s="95" t="s">
        <v>33</v>
      </c>
      <c r="K11" s="59"/>
      <c r="L11" s="95" t="s">
        <v>34</v>
      </c>
      <c r="N11" s="59"/>
      <c r="O11" s="104"/>
      <c r="Q11" s="64" t="s">
        <v>133</v>
      </c>
      <c r="R11" s="61"/>
      <c r="S11" s="62"/>
      <c r="U11" s="61"/>
      <c r="V11" s="62"/>
      <c r="X11" s="61" t="s">
        <v>40</v>
      </c>
      <c r="Y11" s="68">
        <v>61.027419999999999</v>
      </c>
    </row>
    <row r="12" spans="2:25" x14ac:dyDescent="0.25">
      <c r="B12" s="35">
        <v>5.25</v>
      </c>
      <c r="C12" s="36">
        <v>-0.2344869</v>
      </c>
      <c r="D12" s="36">
        <v>-0.51514895400000005</v>
      </c>
      <c r="E12" s="36">
        <v>-2.2047363899999999</v>
      </c>
    </row>
    <row r="13" spans="2:25" x14ac:dyDescent="0.25">
      <c r="B13" s="35">
        <v>5.5</v>
      </c>
      <c r="C13" s="36">
        <v>-0.2125339</v>
      </c>
      <c r="D13" s="36">
        <v>-0.50741168469999998</v>
      </c>
      <c r="E13" s="36">
        <v>-2.1244579200000002</v>
      </c>
      <c r="G13" s="2" t="s">
        <v>36</v>
      </c>
      <c r="H13" s="7"/>
    </row>
    <row r="14" spans="2:25" x14ac:dyDescent="0.25">
      <c r="B14" s="35">
        <v>5.75</v>
      </c>
      <c r="C14" s="36">
        <v>-0.19221050000000001</v>
      </c>
      <c r="D14" s="36">
        <v>-0.50053729739999997</v>
      </c>
      <c r="E14" s="36">
        <v>-2.0478001099999998</v>
      </c>
      <c r="G14" s="1" t="s">
        <v>74</v>
      </c>
      <c r="P14" s="89"/>
      <c r="Q14" s="89"/>
    </row>
    <row r="15" spans="2:25" x14ac:dyDescent="0.25">
      <c r="B15" s="35">
        <v>6</v>
      </c>
      <c r="C15" s="36">
        <v>-0.1734088</v>
      </c>
      <c r="D15" s="36">
        <v>-0.49462071400000002</v>
      </c>
      <c r="E15" s="36">
        <v>-1.9744627100000001</v>
      </c>
      <c r="G15" s="1" t="s">
        <v>73</v>
      </c>
      <c r="N15" s="7"/>
      <c r="O15" s="111"/>
    </row>
    <row r="16" spans="2:25" ht="13.8" x14ac:dyDescent="0.25">
      <c r="B16" s="35">
        <v>6.25</v>
      </c>
      <c r="C16" s="36">
        <v>-0.1560117</v>
      </c>
      <c r="D16" s="36">
        <v>-0.48955949269999999</v>
      </c>
      <c r="E16" s="36">
        <v>-1.9041749699999999</v>
      </c>
      <c r="G16" s="1" t="s">
        <v>37</v>
      </c>
      <c r="N16" s="7"/>
      <c r="O16" s="111"/>
    </row>
    <row r="17" spans="2:15" x14ac:dyDescent="0.25">
      <c r="B17" s="35">
        <v>6.5</v>
      </c>
      <c r="C17" s="36">
        <v>-0.13991190000000001</v>
      </c>
      <c r="D17" s="36">
        <v>-0.48481645369999998</v>
      </c>
      <c r="E17" s="36">
        <v>-1.8366928499999999</v>
      </c>
      <c r="N17" s="7"/>
      <c r="O17" s="111"/>
    </row>
    <row r="18" spans="2:15" x14ac:dyDescent="0.25">
      <c r="B18" s="35">
        <v>6.75</v>
      </c>
      <c r="C18" s="36">
        <v>-0.12500839999999999</v>
      </c>
      <c r="D18" s="36">
        <v>-0.4799046502</v>
      </c>
      <c r="E18" s="36">
        <v>-1.7717991399999999</v>
      </c>
      <c r="G18" s="1" t="s">
        <v>82</v>
      </c>
      <c r="N18" s="7"/>
      <c r="O18" s="111"/>
    </row>
    <row r="19" spans="2:15" x14ac:dyDescent="0.25">
      <c r="B19" s="35">
        <v>7</v>
      </c>
      <c r="C19" s="36">
        <v>-0.1112129</v>
      </c>
      <c r="D19" s="36">
        <v>-0.47443513189999997</v>
      </c>
      <c r="E19" s="36">
        <v>-1.7092947700000001</v>
      </c>
      <c r="G19" s="1" t="s">
        <v>81</v>
      </c>
      <c r="N19" s="7"/>
      <c r="O19" s="111"/>
    </row>
    <row r="20" spans="2:15" x14ac:dyDescent="0.25">
      <c r="B20" s="35">
        <v>7.25</v>
      </c>
      <c r="C20" s="36">
        <v>-9.8447640000000003E-2</v>
      </c>
      <c r="D20" s="36">
        <v>-0.46802588150000002</v>
      </c>
      <c r="E20" s="36">
        <v>-1.64900113</v>
      </c>
      <c r="G20" s="1" t="s">
        <v>75</v>
      </c>
      <c r="H20" s="1" t="s">
        <v>76</v>
      </c>
      <c r="N20" s="7"/>
    </row>
    <row r="21" spans="2:15" x14ac:dyDescent="0.25">
      <c r="B21" s="35">
        <v>7.5</v>
      </c>
      <c r="C21" s="36">
        <v>-8.6644700000000005E-2</v>
      </c>
      <c r="D21" s="36">
        <v>-0.46036559669999999</v>
      </c>
      <c r="E21" s="36">
        <v>-1.5907604500000001</v>
      </c>
      <c r="G21" s="1" t="s">
        <v>77</v>
      </c>
      <c r="H21" s="1" t="s">
        <v>78</v>
      </c>
      <c r="N21" s="7"/>
    </row>
    <row r="22" spans="2:15" x14ac:dyDescent="0.25">
      <c r="B22" s="35">
        <v>7.75</v>
      </c>
      <c r="C22" s="36">
        <v>-7.5746149999999998E-2</v>
      </c>
      <c r="D22" s="36">
        <v>-0.45119402060000002</v>
      </c>
      <c r="E22" s="36">
        <v>-1.53443226</v>
      </c>
      <c r="G22" s="1" t="s">
        <v>79</v>
      </c>
      <c r="H22" s="1" t="s">
        <v>80</v>
      </c>
      <c r="N22" s="7"/>
    </row>
    <row r="23" spans="2:15" x14ac:dyDescent="0.25">
      <c r="B23" s="35">
        <v>8</v>
      </c>
      <c r="C23" s="36">
        <v>-6.5699720000000003E-2</v>
      </c>
      <c r="D23" s="36">
        <v>-0.44030977230000001</v>
      </c>
      <c r="E23" s="36">
        <v>-1.47989061</v>
      </c>
      <c r="N23" s="7"/>
    </row>
    <row r="24" spans="2:15" x14ac:dyDescent="0.25">
      <c r="B24" s="35">
        <v>8.25</v>
      </c>
      <c r="C24" s="36">
        <v>-5.645638E-2</v>
      </c>
      <c r="D24" s="36">
        <v>-0.42752858770000002</v>
      </c>
      <c r="E24" s="36">
        <v>-1.4270222800000001</v>
      </c>
      <c r="G24" s="87" t="s">
        <v>162</v>
      </c>
      <c r="N24" s="7"/>
    </row>
    <row r="25" spans="2:15" x14ac:dyDescent="0.25">
      <c r="B25" s="35">
        <v>8.5</v>
      </c>
      <c r="C25" s="36">
        <v>-4.7963949999999998E-2</v>
      </c>
      <c r="D25" s="36">
        <v>-0.41275496049999999</v>
      </c>
      <c r="E25" s="36">
        <v>-1.3757246599999999</v>
      </c>
      <c r="G25" s="9" t="s">
        <v>45</v>
      </c>
      <c r="N25" s="7"/>
    </row>
    <row r="26" spans="2:15" x14ac:dyDescent="0.25">
      <c r="B26" s="35">
        <v>8.75</v>
      </c>
      <c r="C26" s="36">
        <v>-4.0164279999999997E-2</v>
      </c>
      <c r="D26" s="36">
        <v>-0.39606291809999999</v>
      </c>
      <c r="E26" s="36">
        <v>-1.32590148</v>
      </c>
      <c r="G26" s="9"/>
      <c r="N26" s="7"/>
    </row>
    <row r="27" spans="2:15" x14ac:dyDescent="0.25">
      <c r="B27" s="35">
        <v>9</v>
      </c>
      <c r="C27" s="36">
        <v>-3.300169E-2</v>
      </c>
      <c r="D27" s="36">
        <v>-0.3775780339</v>
      </c>
      <c r="E27" s="36">
        <v>-1.27746267</v>
      </c>
      <c r="G27" s="60" t="s">
        <v>153</v>
      </c>
      <c r="N27" s="7"/>
    </row>
    <row r="28" spans="2:15" x14ac:dyDescent="0.25">
      <c r="B28" s="35">
        <v>9.25</v>
      </c>
      <c r="C28" s="36">
        <v>-2.640907E-2</v>
      </c>
      <c r="D28" s="36">
        <v>-0.35750757519999998</v>
      </c>
      <c r="E28" s="36">
        <v>-1.23032393</v>
      </c>
      <c r="G28" s="10" t="s">
        <v>175</v>
      </c>
      <c r="N28" s="7"/>
    </row>
    <row r="29" spans="2:15" x14ac:dyDescent="0.25">
      <c r="B29" s="35">
        <v>9.5</v>
      </c>
      <c r="C29" s="36">
        <v>-2.0321479999999999E-2</v>
      </c>
      <c r="D29" s="36">
        <v>-0.33604148070000001</v>
      </c>
      <c r="E29" s="36">
        <v>-1.18440619</v>
      </c>
      <c r="G29" s="10" t="s">
        <v>53</v>
      </c>
      <c r="N29" s="7"/>
    </row>
    <row r="30" spans="2:15" x14ac:dyDescent="0.25">
      <c r="B30" s="35">
        <v>9.75</v>
      </c>
      <c r="C30" s="36">
        <v>-1.468028E-2</v>
      </c>
      <c r="D30" s="36">
        <v>-0.3133077165</v>
      </c>
      <c r="E30" s="36">
        <v>-1.1396357500000001</v>
      </c>
      <c r="G30" s="1" t="s">
        <v>55</v>
      </c>
      <c r="N30" s="7"/>
    </row>
    <row r="31" spans="2:15" x14ac:dyDescent="0.25">
      <c r="B31" s="35">
        <v>10</v>
      </c>
      <c r="C31" s="36">
        <v>-9.4328450000000005E-3</v>
      </c>
      <c r="D31" s="36">
        <v>-0.28940100019999998</v>
      </c>
      <c r="E31" s="36">
        <v>-1.0959443499999999</v>
      </c>
      <c r="N31" s="7"/>
    </row>
    <row r="32" spans="2:15" x14ac:dyDescent="0.25">
      <c r="B32" s="35">
        <v>10.25</v>
      </c>
      <c r="C32" s="36">
        <v>-4.5346270000000003E-3</v>
      </c>
      <c r="D32" s="36">
        <v>-0.2644720478</v>
      </c>
      <c r="E32" s="36">
        <v>-1.0532689900000001</v>
      </c>
      <c r="G32" s="7"/>
      <c r="N32" s="7"/>
    </row>
    <row r="33" spans="2:15" x14ac:dyDescent="0.25">
      <c r="B33" s="35">
        <v>10.5</v>
      </c>
      <c r="C33" s="36">
        <v>5.2362469999999997E-5</v>
      </c>
      <c r="D33" s="36">
        <v>-0.2386957193</v>
      </c>
      <c r="E33" s="36">
        <v>-1.01155146</v>
      </c>
      <c r="G33" s="7"/>
      <c r="N33" s="7"/>
    </row>
    <row r="34" spans="2:15" x14ac:dyDescent="0.25">
      <c r="B34" s="35">
        <v>10.75</v>
      </c>
      <c r="C34" s="36">
        <v>4.3612379999999999E-3</v>
      </c>
      <c r="D34" s="36">
        <v>-0.2122311181</v>
      </c>
      <c r="E34" s="36">
        <v>-0.97073798</v>
      </c>
      <c r="N34" s="7"/>
    </row>
    <row r="35" spans="2:15" x14ac:dyDescent="0.25">
      <c r="B35" s="35">
        <v>11</v>
      </c>
      <c r="C35" s="36">
        <v>8.4207899999999992E-3</v>
      </c>
      <c r="D35" s="36">
        <v>-0.1852762382</v>
      </c>
      <c r="E35" s="36">
        <v>-0.93077988</v>
      </c>
      <c r="N35" s="7"/>
    </row>
    <row r="36" spans="2:15" x14ac:dyDescent="0.25">
      <c r="B36" s="35">
        <v>11.25</v>
      </c>
      <c r="C36" s="36">
        <v>1.225822E-2</v>
      </c>
      <c r="D36" s="36">
        <v>-0.1580629402</v>
      </c>
      <c r="E36" s="36">
        <v>-0.89163199999999998</v>
      </c>
      <c r="N36" s="7"/>
    </row>
    <row r="37" spans="2:15" x14ac:dyDescent="0.25">
      <c r="B37" s="35">
        <v>11.5</v>
      </c>
      <c r="C37" s="36">
        <v>1.5898720000000002E-2</v>
      </c>
      <c r="D37" s="36">
        <v>-0.13077745809999999</v>
      </c>
      <c r="E37" s="36">
        <v>-0.85325132000000004</v>
      </c>
      <c r="N37" s="7"/>
    </row>
    <row r="38" spans="2:15" x14ac:dyDescent="0.25">
      <c r="B38" s="35">
        <v>11.75</v>
      </c>
      <c r="C38" s="36">
        <v>1.9365690000000001E-2</v>
      </c>
      <c r="D38" s="36">
        <v>-0.10361818840000001</v>
      </c>
      <c r="E38" s="36">
        <v>-0.81559844000000004</v>
      </c>
      <c r="N38" s="7"/>
    </row>
    <row r="39" spans="2:15" x14ac:dyDescent="0.25">
      <c r="B39" s="35">
        <v>12</v>
      </c>
      <c r="C39" s="36">
        <v>2.2679419999999999E-2</v>
      </c>
      <c r="D39" s="36">
        <v>-7.6811419000000006E-2</v>
      </c>
      <c r="E39" s="36">
        <v>-0.77863824000000004</v>
      </c>
      <c r="N39" s="7"/>
    </row>
    <row r="40" spans="2:15" x14ac:dyDescent="0.25">
      <c r="B40" s="35">
        <v>12.25</v>
      </c>
      <c r="C40" s="36">
        <v>2.5855369999999999E-2</v>
      </c>
      <c r="D40" s="36">
        <v>-5.0605563899999997E-2</v>
      </c>
      <c r="E40" s="36">
        <v>-0.74233828000000002</v>
      </c>
      <c r="N40" s="7"/>
    </row>
    <row r="41" spans="2:15" x14ac:dyDescent="0.25">
      <c r="B41" s="35">
        <v>12.5</v>
      </c>
      <c r="C41" s="36">
        <v>2.8901909999999999E-2</v>
      </c>
      <c r="D41" s="36">
        <v>-2.5154063099999999E-2</v>
      </c>
      <c r="E41" s="36">
        <v>-0.70666686999999995</v>
      </c>
      <c r="N41" s="7"/>
      <c r="O41" s="96"/>
    </row>
    <row r="42" spans="2:15" x14ac:dyDescent="0.25">
      <c r="B42" s="35">
        <v>12.75</v>
      </c>
      <c r="C42" s="36">
        <v>3.1826939999999998E-2</v>
      </c>
      <c r="D42" s="36">
        <v>-5.9233159999999997E-4</v>
      </c>
      <c r="E42" s="36">
        <v>-0.67159398000000003</v>
      </c>
      <c r="N42" s="7"/>
      <c r="O42" s="96"/>
    </row>
    <row r="43" spans="2:15" x14ac:dyDescent="0.25">
      <c r="B43" s="35">
        <v>13</v>
      </c>
      <c r="C43" s="36">
        <v>3.4637309999999998E-2</v>
      </c>
      <c r="D43" s="36">
        <v>2.29589075E-2</v>
      </c>
      <c r="E43" s="36">
        <v>-0.63709190000000004</v>
      </c>
      <c r="N43" s="7"/>
      <c r="O43" s="111"/>
    </row>
    <row r="44" spans="2:15" x14ac:dyDescent="0.25">
      <c r="B44" s="35">
        <v>13.25</v>
      </c>
      <c r="C44" s="36">
        <v>3.7338150000000001E-2</v>
      </c>
      <c r="D44" s="36">
        <v>4.5404035299999999E-2</v>
      </c>
      <c r="E44" s="36">
        <v>-0.60313501999999997</v>
      </c>
      <c r="N44" s="7"/>
      <c r="O44" s="111"/>
    </row>
    <row r="45" spans="2:15" x14ac:dyDescent="0.25">
      <c r="B45" s="35">
        <v>13.5</v>
      </c>
      <c r="C45" s="36">
        <v>3.9933509999999998E-2</v>
      </c>
      <c r="D45" s="36">
        <v>6.6674364999999999E-2</v>
      </c>
      <c r="E45" s="36">
        <v>-0.56969968000000004</v>
      </c>
      <c r="N45" s="7"/>
      <c r="O45" s="111"/>
    </row>
    <row r="46" spans="2:15" x14ac:dyDescent="0.25">
      <c r="B46" s="35">
        <v>13.75</v>
      </c>
      <c r="C46" s="36">
        <v>4.2425890000000001E-2</v>
      </c>
      <c r="D46" s="36">
        <v>8.6722243399999996E-2</v>
      </c>
      <c r="E46" s="36">
        <v>-0.53676360999999995</v>
      </c>
      <c r="N46" s="7"/>
      <c r="O46" s="111"/>
    </row>
    <row r="47" spans="2:15" x14ac:dyDescent="0.25">
      <c r="B47" s="35">
        <v>14</v>
      </c>
      <c r="C47" s="36">
        <v>4.4816130000000003E-2</v>
      </c>
      <c r="D47" s="36">
        <v>0.1055333405</v>
      </c>
      <c r="E47" s="36">
        <v>-0.50430587000000004</v>
      </c>
      <c r="N47" s="7"/>
      <c r="O47" s="111"/>
    </row>
    <row r="48" spans="2:15" x14ac:dyDescent="0.25">
      <c r="B48" s="35">
        <v>14.25</v>
      </c>
      <c r="C48" s="36">
        <v>4.7104300000000002E-2</v>
      </c>
      <c r="D48" s="36">
        <v>0.12311388030000001</v>
      </c>
      <c r="E48" s="36">
        <v>-0.47230714000000001</v>
      </c>
      <c r="N48" s="7"/>
    </row>
    <row r="49" spans="2:14" x14ac:dyDescent="0.25">
      <c r="B49" s="35">
        <v>14.5</v>
      </c>
      <c r="C49" s="36">
        <v>4.9289350000000003E-2</v>
      </c>
      <c r="D49" s="36">
        <v>0.13951553899999999</v>
      </c>
      <c r="E49" s="36">
        <v>-0.44074914999999998</v>
      </c>
      <c r="N49" s="7"/>
    </row>
    <row r="50" spans="2:14" x14ac:dyDescent="0.25">
      <c r="B50" s="35">
        <v>14.75</v>
      </c>
      <c r="C50" s="36">
        <v>5.1370489999999998E-2</v>
      </c>
      <c r="D50" s="36">
        <v>0.15478260460000001</v>
      </c>
      <c r="E50" s="36">
        <v>-0.40961488000000001</v>
      </c>
      <c r="N50" s="7"/>
    </row>
    <row r="51" spans="2:14" x14ac:dyDescent="0.25">
      <c r="B51" s="35">
        <v>15</v>
      </c>
      <c r="C51" s="36">
        <v>5.3348140000000002E-2</v>
      </c>
      <c r="D51" s="36">
        <v>0.16895217509999999</v>
      </c>
      <c r="E51" s="36">
        <v>-0.37888821</v>
      </c>
      <c r="N51" s="7"/>
    </row>
    <row r="52" spans="2:14" x14ac:dyDescent="0.25">
      <c r="B52" s="35">
        <v>15.25</v>
      </c>
      <c r="C52" s="36">
        <v>5.522324E-2</v>
      </c>
      <c r="D52" s="36">
        <v>0.18206475559999999</v>
      </c>
      <c r="E52" s="36">
        <v>-0.34855401000000003</v>
      </c>
    </row>
    <row r="53" spans="2:14" x14ac:dyDescent="0.25">
      <c r="B53" s="35">
        <v>15.5</v>
      </c>
      <c r="C53" s="36">
        <v>5.6996270000000002E-2</v>
      </c>
      <c r="D53" s="36">
        <v>0.1941714165</v>
      </c>
      <c r="E53" s="36">
        <v>-0.31859834999999997</v>
      </c>
    </row>
    <row r="54" spans="2:14" x14ac:dyDescent="0.25">
      <c r="B54" s="35">
        <v>15.75</v>
      </c>
      <c r="C54" s="36">
        <v>5.8667200000000003E-2</v>
      </c>
      <c r="D54" s="36">
        <v>0.20532179840000001</v>
      </c>
      <c r="E54" s="36">
        <v>-0.28900831999999999</v>
      </c>
    </row>
    <row r="55" spans="2:14" x14ac:dyDescent="0.25">
      <c r="B55" s="35">
        <v>16</v>
      </c>
      <c r="C55" s="36">
        <v>6.0236320000000003E-2</v>
      </c>
      <c r="D55" s="36">
        <v>0.21556474680000001</v>
      </c>
      <c r="E55" s="36">
        <v>-0.25977149999999999</v>
      </c>
    </row>
    <row r="56" spans="2:14" x14ac:dyDescent="0.25">
      <c r="B56" s="35">
        <v>16.25</v>
      </c>
      <c r="C56" s="36">
        <v>6.1704349999999998E-2</v>
      </c>
      <c r="D56" s="36">
        <v>0.22495992249999999</v>
      </c>
      <c r="E56" s="36">
        <v>-0.23087595999999999</v>
      </c>
    </row>
    <row r="57" spans="2:14" x14ac:dyDescent="0.25">
      <c r="B57" s="35">
        <v>16.5</v>
      </c>
      <c r="C57" s="36">
        <v>6.3071989999999994E-2</v>
      </c>
      <c r="D57" s="36">
        <v>0.23359246</v>
      </c>
      <c r="E57" s="36">
        <v>-0.20231084999999999</v>
      </c>
    </row>
    <row r="58" spans="2:14" x14ac:dyDescent="0.25">
      <c r="B58" s="35">
        <v>16.75</v>
      </c>
      <c r="C58" s="36">
        <v>6.4340610000000006E-2</v>
      </c>
      <c r="D58" s="36">
        <v>0.24154064410000001</v>
      </c>
      <c r="E58" s="36">
        <v>-0.17406632999999999</v>
      </c>
    </row>
    <row r="59" spans="2:14" x14ac:dyDescent="0.25">
      <c r="B59" s="35">
        <v>17</v>
      </c>
      <c r="C59" s="36">
        <v>6.5512280000000006E-2</v>
      </c>
      <c r="D59" s="36">
        <v>0.2488719278</v>
      </c>
      <c r="E59" s="36">
        <v>-0.14613335999999999</v>
      </c>
    </row>
    <row r="60" spans="2:14" x14ac:dyDescent="0.25">
      <c r="B60" s="35">
        <v>17.25</v>
      </c>
      <c r="C60" s="36">
        <v>6.6588919999999996E-2</v>
      </c>
      <c r="D60" s="36">
        <v>0.25564994569999999</v>
      </c>
      <c r="E60" s="36">
        <v>-0.1185036</v>
      </c>
    </row>
    <row r="61" spans="2:14" x14ac:dyDescent="0.25">
      <c r="B61" s="35">
        <v>17.5</v>
      </c>
      <c r="C61" s="36">
        <v>6.7573640000000004E-2</v>
      </c>
      <c r="D61" s="36">
        <v>0.26192458759999998</v>
      </c>
      <c r="E61" s="36">
        <v>-9.1169470000000002E-2</v>
      </c>
    </row>
    <row r="62" spans="2:14" x14ac:dyDescent="0.25">
      <c r="B62" s="35">
        <v>17.75</v>
      </c>
      <c r="C62" s="36">
        <v>6.8469810000000006E-2</v>
      </c>
      <c r="D62" s="36">
        <v>0.26774038680000001</v>
      </c>
      <c r="E62" s="36">
        <v>-6.4123609999999998E-2</v>
      </c>
    </row>
    <row r="63" spans="2:14" x14ac:dyDescent="0.25">
      <c r="B63" s="35">
        <v>18</v>
      </c>
      <c r="C63" s="36">
        <v>6.9280359999999999E-2</v>
      </c>
      <c r="D63" s="36">
        <v>0.27313581619999999</v>
      </c>
      <c r="E63" s="36">
        <v>-3.7359030000000001E-2</v>
      </c>
    </row>
    <row r="64" spans="2:14" x14ac:dyDescent="0.25">
      <c r="B64" s="35">
        <v>18.25</v>
      </c>
      <c r="C64" s="36">
        <v>7.0007990000000006E-2</v>
      </c>
      <c r="D64" s="36">
        <v>0.27814480650000001</v>
      </c>
      <c r="E64" s="36">
        <v>-1.086902E-2</v>
      </c>
    </row>
    <row r="65" spans="2:5" x14ac:dyDescent="0.25">
      <c r="B65" s="35">
        <v>18.5</v>
      </c>
      <c r="C65" s="36">
        <v>7.0655609999999994E-2</v>
      </c>
      <c r="D65" s="36">
        <v>0.28278677159999999</v>
      </c>
      <c r="E65" s="36">
        <v>1.5353139999999999E-2</v>
      </c>
    </row>
    <row r="66" spans="2:5" x14ac:dyDescent="0.25">
      <c r="B66" s="35">
        <v>18.75</v>
      </c>
      <c r="C66" s="36">
        <v>7.1226010000000006E-2</v>
      </c>
      <c r="D66" s="36">
        <v>0.2870769534</v>
      </c>
      <c r="E66" s="36">
        <v>4.131394E-2</v>
      </c>
    </row>
    <row r="67" spans="2:5" x14ac:dyDescent="0.25">
      <c r="B67" s="35">
        <v>19</v>
      </c>
      <c r="C67" s="36">
        <v>7.1721820000000006E-2</v>
      </c>
      <c r="D67" s="36">
        <v>0.29102341199999998</v>
      </c>
      <c r="E67" s="36">
        <v>6.7019490000000001E-2</v>
      </c>
    </row>
    <row r="68" spans="2:5" x14ac:dyDescent="0.25">
      <c r="B68" s="35">
        <v>19.25</v>
      </c>
      <c r="C68" s="36">
        <v>7.2145879999999996E-2</v>
      </c>
      <c r="D68" s="36">
        <v>0.294628952</v>
      </c>
      <c r="E68" s="36">
        <v>9.2475680000000005E-2</v>
      </c>
    </row>
    <row r="69" spans="2:5" x14ac:dyDescent="0.25">
      <c r="B69" s="35">
        <v>19.5</v>
      </c>
      <c r="C69" s="36">
        <v>7.2502289999999997E-2</v>
      </c>
      <c r="D69" s="36">
        <v>0.29789154820000002</v>
      </c>
      <c r="E69" s="36">
        <v>0.11768828000000001</v>
      </c>
    </row>
    <row r="70" spans="2:5" x14ac:dyDescent="0.25">
      <c r="B70" s="35">
        <v>19.75</v>
      </c>
      <c r="C70" s="36">
        <v>7.2795150000000003E-2</v>
      </c>
      <c r="D70" s="36">
        <v>0.30080992829999997</v>
      </c>
      <c r="E70" s="36">
        <v>0.14266285000000001</v>
      </c>
    </row>
    <row r="71" spans="2:5" x14ac:dyDescent="0.25">
      <c r="B71" s="35">
        <v>20</v>
      </c>
      <c r="C71" s="36">
        <v>7.3028280000000001E-2</v>
      </c>
      <c r="D71" s="36">
        <v>0.30338520009999997</v>
      </c>
      <c r="E71" s="36">
        <v>0.16740471000000001</v>
      </c>
    </row>
    <row r="72" spans="2:5" x14ac:dyDescent="0.25">
      <c r="B72" s="35">
        <v>20.25</v>
      </c>
      <c r="C72" s="36">
        <v>7.3205249999999999E-2</v>
      </c>
      <c r="D72" s="36">
        <v>0.3056221408</v>
      </c>
      <c r="E72" s="36">
        <v>0.19191884000000001</v>
      </c>
    </row>
    <row r="73" spans="2:5" x14ac:dyDescent="0.25">
      <c r="B73" s="35">
        <v>20.5</v>
      </c>
      <c r="C73" s="36">
        <v>7.3329309999999995E-2</v>
      </c>
      <c r="D73" s="36">
        <v>0.30752872739999998</v>
      </c>
      <c r="E73" s="36">
        <v>0.21620998999999999</v>
      </c>
    </row>
    <row r="74" spans="2:5" x14ac:dyDescent="0.25">
      <c r="B74" s="35">
        <v>20.75</v>
      </c>
      <c r="C74" s="36">
        <v>7.3403449999999995E-2</v>
      </c>
      <c r="D74" s="36">
        <v>0.30911261490000003</v>
      </c>
      <c r="E74" s="36">
        <v>0.24028268999999999</v>
      </c>
    </row>
    <row r="75" spans="2:5" x14ac:dyDescent="0.25">
      <c r="B75" s="35">
        <v>21</v>
      </c>
      <c r="C75" s="36">
        <v>7.3430419999999996E-2</v>
      </c>
      <c r="D75" s="36">
        <v>0.31038028410000001</v>
      </c>
      <c r="E75" s="36">
        <v>0.26414121000000002</v>
      </c>
    </row>
    <row r="76" spans="2:5" x14ac:dyDescent="0.25">
      <c r="B76" s="35">
        <v>21.25</v>
      </c>
      <c r="C76" s="36">
        <v>7.3412759999999994E-2</v>
      </c>
      <c r="D76" s="36">
        <v>0.3113417865</v>
      </c>
      <c r="E76" s="36">
        <v>0.28778968999999999</v>
      </c>
    </row>
    <row r="77" spans="2:5" x14ac:dyDescent="0.25">
      <c r="B77" s="35">
        <v>21.5</v>
      </c>
      <c r="C77" s="36">
        <v>7.3352410000000007E-2</v>
      </c>
      <c r="D77" s="36">
        <v>0.31200907420000001</v>
      </c>
      <c r="E77" s="36">
        <v>0.31123219000000002</v>
      </c>
    </row>
    <row r="78" spans="2:5" x14ac:dyDescent="0.25">
      <c r="B78" s="35">
        <v>21.75</v>
      </c>
      <c r="C78" s="36">
        <v>7.3250780000000001E-2</v>
      </c>
      <c r="D78" s="36">
        <v>0.31240418580000001</v>
      </c>
      <c r="E78" s="36">
        <v>0.33447273999999999</v>
      </c>
    </row>
    <row r="79" spans="2:5" x14ac:dyDescent="0.25">
      <c r="B79" s="35">
        <v>22</v>
      </c>
      <c r="C79" s="36">
        <v>7.3108880000000001E-2</v>
      </c>
      <c r="D79" s="36">
        <v>0.31255366289999997</v>
      </c>
      <c r="E79" s="36">
        <v>0.35751529999999998</v>
      </c>
    </row>
    <row r="80" spans="2:5" x14ac:dyDescent="0.25">
      <c r="B80" s="35">
        <v>22.25</v>
      </c>
      <c r="C80" s="36">
        <v>7.2927610000000004E-2</v>
      </c>
      <c r="D80" s="36">
        <v>0.31248265400000003</v>
      </c>
      <c r="E80" s="36">
        <v>0.38036365</v>
      </c>
    </row>
    <row r="81" spans="2:5" x14ac:dyDescent="0.25">
      <c r="B81" s="35">
        <v>22.5</v>
      </c>
      <c r="C81" s="36">
        <v>7.2707759999999996E-2</v>
      </c>
      <c r="D81" s="36">
        <v>0.31221356259999999</v>
      </c>
      <c r="E81" s="36">
        <v>0.40302154000000001</v>
      </c>
    </row>
    <row r="82" spans="2:5" x14ac:dyDescent="0.25">
      <c r="B82" s="35">
        <v>22.75</v>
      </c>
      <c r="C82" s="36">
        <v>7.245016E-2</v>
      </c>
      <c r="D82" s="36">
        <v>0.31176827060000001</v>
      </c>
      <c r="E82" s="36">
        <v>0.42549268000000001</v>
      </c>
    </row>
    <row r="83" spans="2:5" x14ac:dyDescent="0.25">
      <c r="B83" s="35">
        <v>23</v>
      </c>
      <c r="C83" s="36">
        <v>7.2155620000000004E-2</v>
      </c>
      <c r="D83" s="36">
        <v>0.31116847800000003</v>
      </c>
      <c r="E83" s="36">
        <v>0.44778066999999999</v>
      </c>
    </row>
    <row r="84" spans="2:5" x14ac:dyDescent="0.25">
      <c r="B84" s="35">
        <v>23.25</v>
      </c>
      <c r="C84" s="36">
        <v>7.1825020000000003E-2</v>
      </c>
      <c r="D84" s="36">
        <v>0.31043618070000001</v>
      </c>
      <c r="E84" s="36">
        <v>0.46988893999999998</v>
      </c>
    </row>
    <row r="85" spans="2:5" x14ac:dyDescent="0.25">
      <c r="B85" s="35">
        <v>23.5</v>
      </c>
      <c r="C85" s="36">
        <v>7.1459720000000004E-2</v>
      </c>
      <c r="D85" s="36">
        <v>0.30958756659999997</v>
      </c>
      <c r="E85" s="36">
        <v>0.49182078000000001</v>
      </c>
    </row>
    <row r="86" spans="2:5" x14ac:dyDescent="0.25">
      <c r="B86" s="35">
        <v>23.75</v>
      </c>
      <c r="C86" s="36">
        <v>7.1061379999999993E-2</v>
      </c>
      <c r="D86" s="36">
        <v>0.30863698880000001</v>
      </c>
      <c r="E86" s="36">
        <v>0.51357945000000005</v>
      </c>
    </row>
    <row r="87" spans="2:5" x14ac:dyDescent="0.25">
      <c r="B87" s="35">
        <v>24</v>
      </c>
      <c r="C87" s="36">
        <v>7.0631630000000001E-2</v>
      </c>
      <c r="D87" s="36">
        <v>0.30759996280000002</v>
      </c>
      <c r="E87" s="36">
        <v>0.53516808999999999</v>
      </c>
    </row>
    <row r="88" spans="2:5" x14ac:dyDescent="0.25">
      <c r="B88" s="35">
        <v>24.25</v>
      </c>
      <c r="C88" s="36">
        <v>7.0172150000000003E-2</v>
      </c>
      <c r="D88" s="36">
        <v>0.30648992759999999</v>
      </c>
      <c r="E88" s="36">
        <v>0.55658974000000005</v>
      </c>
    </row>
    <row r="89" spans="2:5" x14ac:dyDescent="0.25">
      <c r="B89" s="35">
        <v>24.5</v>
      </c>
      <c r="C89" s="36">
        <v>6.9684860000000001E-2</v>
      </c>
      <c r="D89" s="36">
        <v>0.3053163854</v>
      </c>
      <c r="E89" s="36">
        <v>0.57784732000000005</v>
      </c>
    </row>
    <row r="90" spans="2:5" x14ac:dyDescent="0.25">
      <c r="B90" s="35">
        <v>24.75</v>
      </c>
      <c r="C90" s="36">
        <v>6.9171640000000006E-2</v>
      </c>
      <c r="D90" s="36">
        <v>0.30408896159999999</v>
      </c>
      <c r="E90" s="36">
        <v>0.59894362000000001</v>
      </c>
    </row>
    <row r="91" spans="2:5" x14ac:dyDescent="0.25">
      <c r="B91" s="35">
        <v>25</v>
      </c>
      <c r="C91" s="36">
        <v>6.8634340000000002E-2</v>
      </c>
      <c r="D91" s="36">
        <v>0.30281858230000003</v>
      </c>
      <c r="E91" s="36">
        <v>0.61988131000000002</v>
      </c>
    </row>
    <row r="92" spans="2:5" x14ac:dyDescent="0.25">
      <c r="B92" s="35">
        <v>25.25</v>
      </c>
      <c r="C92" s="36">
        <v>6.8074809999999999E-2</v>
      </c>
      <c r="D92" s="36">
        <v>0.30151635729999998</v>
      </c>
      <c r="E92" s="36">
        <v>0.64066299999999998</v>
      </c>
    </row>
    <row r="93" spans="2:5" x14ac:dyDescent="0.25">
      <c r="B93" s="35">
        <v>25.5</v>
      </c>
      <c r="C93" s="36">
        <v>6.7494960000000007E-2</v>
      </c>
      <c r="D93" s="36">
        <v>0.30018976190000002</v>
      </c>
      <c r="E93" s="36">
        <v>0.66129130000000003</v>
      </c>
    </row>
    <row r="94" spans="2:5" x14ac:dyDescent="0.25">
      <c r="B94" s="35">
        <v>25.75</v>
      </c>
      <c r="C94" s="36">
        <v>6.6896639999999993E-2</v>
      </c>
      <c r="D94" s="36">
        <v>0.2988480906</v>
      </c>
      <c r="E94" s="36">
        <v>0.68176879000000001</v>
      </c>
    </row>
    <row r="95" spans="2:5" x14ac:dyDescent="0.25">
      <c r="B95" s="35">
        <v>26</v>
      </c>
      <c r="C95" s="36">
        <v>6.6281530000000005E-2</v>
      </c>
      <c r="D95" s="36">
        <v>0.29750152299999999</v>
      </c>
      <c r="E95" s="36">
        <v>0.70209790999999999</v>
      </c>
    </row>
    <row r="96" spans="2:5" x14ac:dyDescent="0.25">
      <c r="B96" s="35">
        <v>26.25</v>
      </c>
      <c r="C96" s="36">
        <v>6.5651310000000004E-2</v>
      </c>
      <c r="D96" s="36">
        <v>0.29615701280000001</v>
      </c>
      <c r="E96" s="36">
        <v>0.72228108999999996</v>
      </c>
    </row>
    <row r="97" spans="2:5" x14ac:dyDescent="0.25">
      <c r="B97" s="35">
        <v>26.5</v>
      </c>
      <c r="C97" s="36">
        <v>6.5008049999999998E-2</v>
      </c>
      <c r="D97" s="36">
        <v>0.29481237059999998</v>
      </c>
      <c r="E97" s="36">
        <v>0.74232081000000005</v>
      </c>
    </row>
    <row r="98" spans="2:5" x14ac:dyDescent="0.25">
      <c r="B98" s="35">
        <v>26.75</v>
      </c>
      <c r="C98" s="36">
        <v>6.4353900000000006E-2</v>
      </c>
      <c r="D98" s="36">
        <v>0.29346399560000003</v>
      </c>
      <c r="E98" s="36">
        <v>0.76221956999999996</v>
      </c>
    </row>
    <row r="99" spans="2:5" x14ac:dyDescent="0.25">
      <c r="B99" s="35">
        <v>27</v>
      </c>
      <c r="C99" s="36">
        <v>6.3690880000000005E-2</v>
      </c>
      <c r="D99" s="36">
        <v>0.29210902690000001</v>
      </c>
      <c r="E99" s="36">
        <v>0.78197974000000003</v>
      </c>
    </row>
    <row r="100" spans="2:5" x14ac:dyDescent="0.25">
      <c r="B100" s="35">
        <v>27.25</v>
      </c>
      <c r="C100" s="36">
        <v>6.3020820000000005E-2</v>
      </c>
      <c r="D100" s="36">
        <v>0.2907442979</v>
      </c>
      <c r="E100" s="36">
        <v>0.80160368000000004</v>
      </c>
    </row>
    <row r="101" spans="2:5" x14ac:dyDescent="0.25">
      <c r="B101" s="35">
        <v>27.5</v>
      </c>
      <c r="C101" s="36">
        <v>6.2345360000000002E-2</v>
      </c>
      <c r="D101" s="36">
        <v>0.28936503489999998</v>
      </c>
      <c r="E101" s="36">
        <v>0.82109378</v>
      </c>
    </row>
    <row r="102" spans="2:5" x14ac:dyDescent="0.25">
      <c r="B102" s="35">
        <v>27.75</v>
      </c>
      <c r="C102" s="36">
        <v>6.1665930000000001E-2</v>
      </c>
      <c r="D102" s="36">
        <v>0.28796662379999999</v>
      </c>
      <c r="E102" s="36">
        <v>0.84045239000000005</v>
      </c>
    </row>
    <row r="103" spans="2:5" x14ac:dyDescent="0.25">
      <c r="B103" s="35">
        <v>28</v>
      </c>
      <c r="C103" s="36">
        <v>6.0983790000000003E-2</v>
      </c>
      <c r="D103" s="36">
        <v>0.28654623540000002</v>
      </c>
      <c r="E103" s="36">
        <v>0.85968179</v>
      </c>
    </row>
    <row r="104" spans="2:5" x14ac:dyDescent="0.25">
      <c r="B104" s="35">
        <v>28.25</v>
      </c>
      <c r="C104" s="36">
        <v>6.0300090000000001E-2</v>
      </c>
      <c r="D104" s="36">
        <v>0.28510323650000002</v>
      </c>
      <c r="E104" s="36">
        <v>0.87878420000000002</v>
      </c>
    </row>
    <row r="105" spans="2:5" x14ac:dyDescent="0.25">
      <c r="B105" s="35">
        <v>28.5</v>
      </c>
      <c r="C105" s="36">
        <v>5.9615889999999998E-2</v>
      </c>
      <c r="D105" s="36">
        <v>0.28363526449999998</v>
      </c>
      <c r="E105" s="36">
        <v>0.89776173999999997</v>
      </c>
    </row>
    <row r="106" spans="2:5" x14ac:dyDescent="0.25">
      <c r="B106" s="35">
        <v>28.75</v>
      </c>
      <c r="C106" s="36">
        <v>5.8932169999999999E-2</v>
      </c>
      <c r="D106" s="36">
        <v>0.28214008619999997</v>
      </c>
      <c r="E106" s="36">
        <v>0.91661645000000003</v>
      </c>
    </row>
    <row r="107" spans="2:5" x14ac:dyDescent="0.25">
      <c r="B107" s="35">
        <v>29</v>
      </c>
      <c r="C107" s="36">
        <v>5.8249820000000001E-2</v>
      </c>
      <c r="D107" s="36">
        <v>0.28061714809999999</v>
      </c>
      <c r="E107" s="36">
        <v>0.93535027999999998</v>
      </c>
    </row>
    <row r="108" spans="2:5" x14ac:dyDescent="0.25">
      <c r="B108" s="35">
        <v>29.25</v>
      </c>
      <c r="C108" s="36">
        <v>5.7569629999999997E-2</v>
      </c>
      <c r="D108" s="36">
        <v>0.27906725760000001</v>
      </c>
      <c r="E108" s="36">
        <v>0.95396513999999999</v>
      </c>
    </row>
    <row r="109" spans="2:5" x14ac:dyDescent="0.25">
      <c r="B109" s="35">
        <v>29.5</v>
      </c>
      <c r="C109" s="36">
        <v>5.6892180000000001E-2</v>
      </c>
      <c r="D109" s="36">
        <v>0.27749079110000002</v>
      </c>
      <c r="E109" s="36">
        <v>0.97246284999999999</v>
      </c>
    </row>
    <row r="110" spans="2:5" x14ac:dyDescent="0.25">
      <c r="B110" s="35">
        <v>29.75</v>
      </c>
      <c r="C110" s="36">
        <v>5.6217929999999999E-2</v>
      </c>
      <c r="D110" s="36">
        <v>0.27588932719999998</v>
      </c>
      <c r="E110" s="36">
        <v>0.99084519000000004</v>
      </c>
    </row>
    <row r="111" spans="2:5" x14ac:dyDescent="0.25">
      <c r="B111" s="35">
        <v>30</v>
      </c>
      <c r="C111" s="36">
        <v>5.5547270000000003E-2</v>
      </c>
      <c r="D111" s="36">
        <v>0.2742657765</v>
      </c>
      <c r="E111" s="36">
        <v>1.0091138799999999</v>
      </c>
    </row>
    <row r="112" spans="2:5" x14ac:dyDescent="0.25">
      <c r="B112" s="35">
        <v>30.25</v>
      </c>
      <c r="C112" s="36">
        <v>5.4880480000000002E-2</v>
      </c>
      <c r="D112" s="36">
        <v>0.27262345589999998</v>
      </c>
      <c r="E112" s="36">
        <v>1.0272706</v>
      </c>
    </row>
    <row r="113" spans="2:5" x14ac:dyDescent="0.25">
      <c r="B113" s="35">
        <v>30.5</v>
      </c>
      <c r="C113" s="36">
        <v>5.4217929999999998E-2</v>
      </c>
      <c r="D113" s="36">
        <v>0.27096340060000002</v>
      </c>
      <c r="E113" s="36">
        <v>1.0453170000000001</v>
      </c>
    </row>
    <row r="114" spans="2:5" x14ac:dyDescent="0.25">
      <c r="B114" s="35">
        <v>30.75</v>
      </c>
      <c r="C114" s="36">
        <v>5.3560080000000003E-2</v>
      </c>
      <c r="D114" s="36">
        <v>0.26928660630000001</v>
      </c>
      <c r="E114" s="36">
        <v>1.06325471</v>
      </c>
    </row>
    <row r="115" spans="2:5" x14ac:dyDescent="0.25">
      <c r="B115" s="35">
        <v>31</v>
      </c>
      <c r="C115" s="36">
        <v>5.290736E-2</v>
      </c>
      <c r="D115" s="36">
        <v>0.26759436910000001</v>
      </c>
      <c r="E115" s="36">
        <v>1.0810852900000001</v>
      </c>
    </row>
    <row r="116" spans="2:5" x14ac:dyDescent="0.25">
      <c r="B116" s="35">
        <v>31.25</v>
      </c>
      <c r="C116" s="36">
        <v>5.2260180000000003E-2</v>
      </c>
      <c r="D116" s="36">
        <v>0.26588775520000002</v>
      </c>
      <c r="E116" s="36">
        <v>1.09881027</v>
      </c>
    </row>
    <row r="117" spans="2:5" x14ac:dyDescent="0.25">
      <c r="B117" s="35">
        <v>31.5</v>
      </c>
      <c r="C117" s="36">
        <v>5.1618940000000002E-2</v>
      </c>
      <c r="D117" s="36">
        <v>0.26416566470000002</v>
      </c>
      <c r="E117" s="36">
        <v>1.1164311600000001</v>
      </c>
    </row>
    <row r="118" spans="2:5" x14ac:dyDescent="0.25">
      <c r="B118" s="35">
        <v>31.75</v>
      </c>
      <c r="C118" s="36">
        <v>5.098403E-2</v>
      </c>
      <c r="D118" s="36">
        <v>0.26242692820000002</v>
      </c>
      <c r="E118" s="36">
        <v>1.1339494299999999</v>
      </c>
    </row>
    <row r="119" spans="2:5" x14ac:dyDescent="0.25">
      <c r="B119" s="35">
        <v>32</v>
      </c>
      <c r="C119" s="36">
        <v>5.0355810000000001E-2</v>
      </c>
      <c r="D119" s="36">
        <v>0.26067025110000003</v>
      </c>
      <c r="E119" s="36">
        <v>1.15136649</v>
      </c>
    </row>
    <row r="120" spans="2:5" x14ac:dyDescent="0.25">
      <c r="B120" s="35">
        <v>32.25</v>
      </c>
      <c r="C120" s="36">
        <v>4.9734609999999999E-2</v>
      </c>
      <c r="D120" s="36">
        <v>0.2588931351</v>
      </c>
      <c r="E120" s="36">
        <v>1.1686836899999999</v>
      </c>
    </row>
    <row r="121" spans="2:5" x14ac:dyDescent="0.25">
      <c r="B121" s="35">
        <v>32.5</v>
      </c>
      <c r="C121" s="36">
        <v>4.9120730000000001E-2</v>
      </c>
      <c r="D121" s="36">
        <v>0.2570905255</v>
      </c>
      <c r="E121" s="36">
        <v>1.1859023</v>
      </c>
    </row>
    <row r="122" spans="2:5" x14ac:dyDescent="0.25">
      <c r="B122" s="35">
        <v>32.75</v>
      </c>
      <c r="C122" s="36">
        <v>4.8514420000000003E-2</v>
      </c>
      <c r="D122" s="36">
        <v>0.25525729419999998</v>
      </c>
      <c r="E122" s="36">
        <v>1.20302357</v>
      </c>
    </row>
    <row r="123" spans="2:5" x14ac:dyDescent="0.25">
      <c r="B123" s="35">
        <v>33</v>
      </c>
      <c r="C123" s="36">
        <v>4.7915970000000002E-2</v>
      </c>
      <c r="D123" s="36">
        <v>0.25338851829999998</v>
      </c>
      <c r="E123" s="36">
        <v>1.2200487099999999</v>
      </c>
    </row>
    <row r="124" spans="2:5" x14ac:dyDescent="0.25">
      <c r="B124" s="35">
        <v>33.25</v>
      </c>
      <c r="C124" s="36">
        <v>4.7325569999999997E-2</v>
      </c>
      <c r="D124" s="36">
        <v>0.25147963220000003</v>
      </c>
      <c r="E124" s="36">
        <v>1.2369789200000001</v>
      </c>
    </row>
    <row r="125" spans="2:5" x14ac:dyDescent="0.25">
      <c r="B125" s="35">
        <v>33.5</v>
      </c>
      <c r="C125" s="36">
        <v>4.6743310000000003E-2</v>
      </c>
      <c r="D125" s="36">
        <v>0.24952572519999999</v>
      </c>
      <c r="E125" s="36">
        <v>1.2538153700000001</v>
      </c>
    </row>
    <row r="126" spans="2:5" x14ac:dyDescent="0.25">
      <c r="B126" s="35">
        <v>33.75</v>
      </c>
      <c r="C126" s="36">
        <v>4.6169250000000002E-2</v>
      </c>
      <c r="D126" s="36">
        <v>0.24752240510000001</v>
      </c>
      <c r="E126" s="36">
        <v>1.2705592299999999</v>
      </c>
    </row>
    <row r="127" spans="2:5" x14ac:dyDescent="0.25">
      <c r="B127" s="35">
        <v>34</v>
      </c>
      <c r="C127" s="36">
        <v>4.5603539999999998E-2</v>
      </c>
      <c r="D127" s="36">
        <v>0.2454668267</v>
      </c>
      <c r="E127" s="36">
        <v>1.28721167</v>
      </c>
    </row>
    <row r="128" spans="2:5" x14ac:dyDescent="0.25">
      <c r="B128" s="35">
        <v>34.25</v>
      </c>
      <c r="C128" s="36">
        <v>4.5046290000000003E-2</v>
      </c>
      <c r="D128" s="36">
        <v>0.2433571688</v>
      </c>
      <c r="E128" s="36">
        <v>1.30377386</v>
      </c>
    </row>
    <row r="129" spans="2:5" x14ac:dyDescent="0.25">
      <c r="B129" s="35">
        <v>34.5</v>
      </c>
      <c r="C129" s="36">
        <v>4.449753E-2</v>
      </c>
      <c r="D129" s="36">
        <v>0.24119093380000001</v>
      </c>
      <c r="E129" s="36">
        <v>1.3202469299999999</v>
      </c>
    </row>
    <row r="130" spans="2:5" x14ac:dyDescent="0.25">
      <c r="B130" s="35">
        <v>34.75</v>
      </c>
      <c r="C130" s="36">
        <v>4.395719E-2</v>
      </c>
      <c r="D130" s="36">
        <v>0.23896649850000001</v>
      </c>
      <c r="E130" s="36">
        <v>1.336632</v>
      </c>
    </row>
    <row r="131" spans="2:5" x14ac:dyDescent="0.25">
      <c r="B131" s="35">
        <v>35</v>
      </c>
      <c r="C131" s="36">
        <v>4.3425180000000001E-2</v>
      </c>
      <c r="D131" s="36">
        <v>0.23668273849999999</v>
      </c>
      <c r="E131" s="36">
        <v>1.35293014</v>
      </c>
    </row>
    <row r="132" spans="2:5" x14ac:dyDescent="0.25">
      <c r="B132" s="35">
        <v>35.25</v>
      </c>
      <c r="C132" s="36">
        <v>4.2901370000000001E-2</v>
      </c>
      <c r="D132" s="36">
        <v>0.2343390887</v>
      </c>
      <c r="E132" s="36">
        <v>1.36914241</v>
      </c>
    </row>
    <row r="133" spans="2:5" x14ac:dyDescent="0.25">
      <c r="B133" s="35">
        <v>35.5</v>
      </c>
      <c r="C133" s="36">
        <v>4.2385569999999997E-2</v>
      </c>
      <c r="D133" s="36">
        <v>0.2319356219</v>
      </c>
      <c r="E133" s="36">
        <v>1.3852698400000001</v>
      </c>
    </row>
    <row r="134" spans="2:5" x14ac:dyDescent="0.25">
      <c r="B134" s="35">
        <v>35.75</v>
      </c>
      <c r="C134" s="36">
        <v>4.1877570000000003E-2</v>
      </c>
      <c r="D134" s="36">
        <v>0.22947256129999999</v>
      </c>
      <c r="E134" s="36">
        <v>1.40131345</v>
      </c>
    </row>
    <row r="135" spans="2:5" x14ac:dyDescent="0.25">
      <c r="B135" s="35">
        <v>36</v>
      </c>
      <c r="C135" s="36">
        <v>4.1377160000000003E-2</v>
      </c>
      <c r="D135" s="36">
        <v>0.2269500468</v>
      </c>
      <c r="E135" s="36">
        <v>1.4172741900000001</v>
      </c>
    </row>
    <row r="136" spans="2:5" x14ac:dyDescent="0.25">
      <c r="B136" s="35">
        <v>36.25</v>
      </c>
      <c r="C136" s="36">
        <v>4.0884110000000001E-2</v>
      </c>
      <c r="D136" s="36">
        <v>0.2243680468</v>
      </c>
      <c r="E136" s="36">
        <v>1.4331530100000001</v>
      </c>
    </row>
    <row r="137" spans="2:5" x14ac:dyDescent="0.25">
      <c r="B137" s="35">
        <v>36.5</v>
      </c>
      <c r="C137" s="36">
        <v>4.0398080000000003E-2</v>
      </c>
      <c r="D137" s="36">
        <v>0.2217259348</v>
      </c>
      <c r="E137" s="36">
        <v>1.4489508099999999</v>
      </c>
    </row>
    <row r="138" spans="2:5" x14ac:dyDescent="0.25">
      <c r="B138" s="35">
        <v>36.75</v>
      </c>
      <c r="C138" s="36">
        <v>3.9918700000000001E-2</v>
      </c>
      <c r="D138" s="36">
        <v>0.219023421</v>
      </c>
      <c r="E138" s="36">
        <v>1.4646684599999999</v>
      </c>
    </row>
    <row r="139" spans="2:5" x14ac:dyDescent="0.25">
      <c r="B139" s="35">
        <v>37</v>
      </c>
      <c r="C139" s="36">
        <v>3.9445599999999997E-2</v>
      </c>
      <c r="D139" s="36">
        <v>0.21626088630000001</v>
      </c>
      <c r="E139" s="36">
        <v>1.48030682</v>
      </c>
    </row>
    <row r="140" spans="2:5" x14ac:dyDescent="0.25">
      <c r="B140" s="35">
        <v>37.25</v>
      </c>
      <c r="C140" s="36">
        <v>3.8978449999999998E-2</v>
      </c>
      <c r="D140" s="36">
        <v>0.21343981109999999</v>
      </c>
      <c r="E140" s="36">
        <v>1.4958667299999999</v>
      </c>
    </row>
    <row r="141" spans="2:5" x14ac:dyDescent="0.25">
      <c r="B141" s="35">
        <v>37.5</v>
      </c>
      <c r="C141" s="36">
        <v>3.851682E-2</v>
      </c>
      <c r="D141" s="36">
        <v>0.21056342259999999</v>
      </c>
      <c r="E141" s="36">
        <v>1.5113490000000001</v>
      </c>
    </row>
    <row r="142" spans="2:5" x14ac:dyDescent="0.25">
      <c r="B142" s="35">
        <v>37.75</v>
      </c>
      <c r="C142" s="36">
        <v>3.8060299999999998E-2</v>
      </c>
      <c r="D142" s="36">
        <v>0.2076355631</v>
      </c>
      <c r="E142" s="36">
        <v>1.5267544200000001</v>
      </c>
    </row>
    <row r="143" spans="2:5" x14ac:dyDescent="0.25">
      <c r="B143" s="35">
        <v>38</v>
      </c>
      <c r="C143" s="36">
        <v>3.7608450000000002E-2</v>
      </c>
      <c r="D143" s="36">
        <v>0.2046596641</v>
      </c>
      <c r="E143" s="36">
        <v>1.5420837700000001</v>
      </c>
    </row>
    <row r="144" spans="2:5" x14ac:dyDescent="0.25">
      <c r="B144" s="35">
        <v>38.25</v>
      </c>
      <c r="C144" s="36">
        <v>3.7160840000000001E-2</v>
      </c>
      <c r="D144" s="36">
        <v>0.20163801140000001</v>
      </c>
      <c r="E144" s="36">
        <v>1.55733783</v>
      </c>
    </row>
    <row r="145" spans="2:5" x14ac:dyDescent="0.25">
      <c r="B145" s="35">
        <v>38.5</v>
      </c>
      <c r="C145" s="36">
        <v>3.6717060000000003E-2</v>
      </c>
      <c r="D145" s="36">
        <v>0.1985717105</v>
      </c>
      <c r="E145" s="36">
        <v>1.5725173800000001</v>
      </c>
    </row>
    <row r="146" spans="2:5" x14ac:dyDescent="0.25">
      <c r="B146" s="35">
        <v>38.75</v>
      </c>
      <c r="C146" s="36">
        <v>3.6276679999999999E-2</v>
      </c>
      <c r="D146" s="36">
        <v>0.19546215729999999</v>
      </c>
      <c r="E146" s="36">
        <v>1.58762319</v>
      </c>
    </row>
    <row r="147" spans="2:5" x14ac:dyDescent="0.25">
      <c r="B147" s="35">
        <v>39</v>
      </c>
      <c r="C147" s="36">
        <v>3.5839290000000003E-2</v>
      </c>
      <c r="D147" s="36">
        <v>0.19231122319999999</v>
      </c>
      <c r="E147" s="36">
        <v>1.6026559899999999</v>
      </c>
    </row>
    <row r="148" spans="2:5" x14ac:dyDescent="0.25">
      <c r="B148" s="35">
        <v>39.25</v>
      </c>
      <c r="C148" s="36">
        <v>3.5404499999999998E-2</v>
      </c>
      <c r="D148" s="36">
        <v>0.1891204048</v>
      </c>
      <c r="E148" s="36">
        <v>1.6176165199999999</v>
      </c>
    </row>
    <row r="149" spans="2:5" x14ac:dyDescent="0.25">
      <c r="B149" s="35">
        <v>39.5</v>
      </c>
      <c r="C149" s="36">
        <v>3.4971990000000001E-2</v>
      </c>
      <c r="D149" s="36">
        <v>0.18588912060000001</v>
      </c>
      <c r="E149" s="36">
        <v>1.6325054699999999</v>
      </c>
    </row>
    <row r="150" spans="2:5" x14ac:dyDescent="0.25">
      <c r="B150" s="35">
        <v>39.75</v>
      </c>
      <c r="C150" s="36">
        <v>3.4541389999999998E-2</v>
      </c>
      <c r="D150" s="36">
        <v>0.18261659220000001</v>
      </c>
      <c r="E150" s="36">
        <v>1.64732353</v>
      </c>
    </row>
    <row r="151" spans="2:5" x14ac:dyDescent="0.25">
      <c r="B151" s="35">
        <v>40</v>
      </c>
      <c r="C151" s="36">
        <v>3.4112400000000001E-2</v>
      </c>
      <c r="D151" s="36">
        <v>0.1793020722</v>
      </c>
      <c r="E151" s="36">
        <v>1.66207137</v>
      </c>
    </row>
    <row r="152" spans="2:5" x14ac:dyDescent="0.25">
      <c r="B152" s="35">
        <v>40.25</v>
      </c>
      <c r="C152" s="36">
        <v>3.368471E-2</v>
      </c>
      <c r="D152" s="36">
        <v>0.1759445026</v>
      </c>
      <c r="E152" s="36">
        <v>1.67674966</v>
      </c>
    </row>
    <row r="153" spans="2:5" x14ac:dyDescent="0.25">
      <c r="B153" s="35">
        <v>40.5</v>
      </c>
      <c r="C153" s="36">
        <v>3.3258059999999999E-2</v>
      </c>
      <c r="D153" s="36">
        <v>0.1725424841</v>
      </c>
      <c r="E153" s="36">
        <v>1.69135908</v>
      </c>
    </row>
    <row r="154" spans="2:5" x14ac:dyDescent="0.25">
      <c r="B154" s="35">
        <v>40.75</v>
      </c>
      <c r="C154" s="36">
        <v>3.2832189999999997E-2</v>
      </c>
      <c r="D154" s="36">
        <v>0.16909461680000001</v>
      </c>
      <c r="E154" s="36">
        <v>1.7059003100000001</v>
      </c>
    </row>
    <row r="155" spans="2:5" x14ac:dyDescent="0.25">
      <c r="B155" s="35">
        <v>41</v>
      </c>
      <c r="C155" s="36">
        <v>3.2406820000000003E-2</v>
      </c>
      <c r="D155" s="36">
        <v>0.1655997578</v>
      </c>
      <c r="E155" s="36">
        <v>1.7203740000000001</v>
      </c>
    </row>
    <row r="156" spans="2:5" x14ac:dyDescent="0.25">
      <c r="B156" s="35">
        <v>41.25</v>
      </c>
      <c r="C156" s="36">
        <v>3.1981629999999997E-2</v>
      </c>
      <c r="D156" s="36">
        <v>0.1620572391</v>
      </c>
      <c r="E156" s="36">
        <v>1.73478081</v>
      </c>
    </row>
    <row r="157" spans="2:5" x14ac:dyDescent="0.25">
      <c r="B157" s="35">
        <v>41.5</v>
      </c>
      <c r="C157" s="36">
        <v>3.1556220000000003E-2</v>
      </c>
      <c r="D157" s="36">
        <v>0.15846571279999999</v>
      </c>
      <c r="E157" s="36">
        <v>1.7491213699999999</v>
      </c>
    </row>
    <row r="158" spans="2:5" x14ac:dyDescent="0.25">
      <c r="B158" s="35">
        <v>41.75</v>
      </c>
      <c r="C158" s="36">
        <v>3.1130169999999999E-2</v>
      </c>
      <c r="D158" s="36">
        <v>0.15482375840000001</v>
      </c>
      <c r="E158" s="36">
        <v>1.7633962999999999</v>
      </c>
    </row>
    <row r="159" spans="2:5" x14ac:dyDescent="0.25">
      <c r="B159" s="35">
        <v>42</v>
      </c>
      <c r="C159" s="36">
        <v>3.0703109999999999E-2</v>
      </c>
      <c r="D159" s="36">
        <v>0.15113006770000001</v>
      </c>
      <c r="E159" s="36">
        <v>1.7776062100000001</v>
      </c>
    </row>
    <row r="160" spans="2:5" x14ac:dyDescent="0.25">
      <c r="B160" s="35">
        <v>42.25</v>
      </c>
      <c r="C160" s="36">
        <v>3.0274680000000002E-2</v>
      </c>
      <c r="D160" s="36">
        <v>0.14738386000000001</v>
      </c>
      <c r="E160" s="36">
        <v>1.7917516899999999</v>
      </c>
    </row>
    <row r="161" spans="2:5" x14ac:dyDescent="0.25">
      <c r="B161" s="35">
        <v>42.5</v>
      </c>
      <c r="C161" s="36">
        <v>2.9844490000000001E-2</v>
      </c>
      <c r="D161" s="36">
        <v>0.14358450079999999</v>
      </c>
      <c r="E161" s="36">
        <v>1.8058333099999999</v>
      </c>
    </row>
    <row r="162" spans="2:5" x14ac:dyDescent="0.25">
      <c r="B162" s="35">
        <v>42.75</v>
      </c>
      <c r="C162" s="36">
        <v>2.9412170000000001E-2</v>
      </c>
      <c r="D162" s="36">
        <v>0.13973140570000001</v>
      </c>
      <c r="E162" s="36">
        <v>1.8198516499999999</v>
      </c>
    </row>
    <row r="163" spans="2:5" x14ac:dyDescent="0.25">
      <c r="B163" s="35">
        <v>43</v>
      </c>
      <c r="C163" s="36">
        <v>2.8977369999999999E-2</v>
      </c>
      <c r="D163" s="36">
        <v>0.1358243878</v>
      </c>
      <c r="E163" s="36">
        <v>1.8338072599999999</v>
      </c>
    </row>
    <row r="164" spans="2:5" x14ac:dyDescent="0.25">
      <c r="B164" s="35">
        <v>43.25</v>
      </c>
      <c r="C164" s="36">
        <v>2.8539760000000001E-2</v>
      </c>
      <c r="D164" s="36">
        <v>0.13186350969999999</v>
      </c>
      <c r="E164" s="36">
        <v>1.8477007000000001</v>
      </c>
    </row>
    <row r="165" spans="2:5" x14ac:dyDescent="0.25">
      <c r="B165" s="35">
        <v>43.5</v>
      </c>
      <c r="C165" s="36">
        <v>2.8099039999999999E-2</v>
      </c>
      <c r="D165" s="36">
        <v>0.12784845680000001</v>
      </c>
      <c r="E165" s="36">
        <v>1.8615324799999999</v>
      </c>
    </row>
    <row r="166" spans="2:5" x14ac:dyDescent="0.25">
      <c r="B166" s="35">
        <v>43.75</v>
      </c>
      <c r="C166" s="36">
        <v>2.7654979999999999E-2</v>
      </c>
      <c r="D166" s="36">
        <v>0.1237784499</v>
      </c>
      <c r="E166" s="36">
        <v>1.87530314</v>
      </c>
    </row>
    <row r="167" spans="2:5" x14ac:dyDescent="0.25">
      <c r="B167" s="35">
        <v>44</v>
      </c>
      <c r="C167" s="36">
        <v>2.7207370000000002E-2</v>
      </c>
      <c r="D167" s="36">
        <v>0.1196527569</v>
      </c>
      <c r="E167" s="36">
        <v>1.88901316</v>
      </c>
    </row>
    <row r="168" spans="2:5" x14ac:dyDescent="0.25">
      <c r="B168" s="35">
        <v>44.25</v>
      </c>
      <c r="C168" s="36">
        <v>2.675603E-2</v>
      </c>
      <c r="D168" s="36">
        <v>0.11547096229999999</v>
      </c>
      <c r="E168" s="36">
        <v>1.9026630600000001</v>
      </c>
    </row>
    <row r="169" spans="2:5" x14ac:dyDescent="0.25">
      <c r="B169" s="35">
        <v>44.5</v>
      </c>
      <c r="C169" s="36">
        <v>2.6300830000000001E-2</v>
      </c>
      <c r="D169" s="36">
        <v>0.1112326106</v>
      </c>
      <c r="E169" s="36">
        <v>1.9162532999999999</v>
      </c>
    </row>
    <row r="170" spans="2:5" x14ac:dyDescent="0.25">
      <c r="B170" s="35">
        <v>44.75</v>
      </c>
      <c r="C170" s="36">
        <v>2.5841639999999999E-2</v>
      </c>
      <c r="D170" s="36">
        <v>0.10693757819999999</v>
      </c>
      <c r="E170" s="36">
        <v>1.92978436</v>
      </c>
    </row>
    <row r="171" spans="2:5" x14ac:dyDescent="0.25">
      <c r="B171" s="35">
        <v>45</v>
      </c>
      <c r="C171" s="36">
        <v>2.5378379999999999E-2</v>
      </c>
      <c r="D171" s="36">
        <v>0.1025862466</v>
      </c>
      <c r="E171" s="36">
        <v>1.94325671</v>
      </c>
    </row>
    <row r="172" spans="2:5" x14ac:dyDescent="0.25">
      <c r="B172" s="35">
        <v>45.25</v>
      </c>
      <c r="C172" s="36">
        <v>2.4910930000000001E-2</v>
      </c>
      <c r="D172" s="36">
        <v>9.8179039999999995E-2</v>
      </c>
      <c r="E172" s="36">
        <v>1.95667079</v>
      </c>
    </row>
    <row r="173" spans="2:5" x14ac:dyDescent="0.25">
      <c r="B173" s="35">
        <v>45.5</v>
      </c>
      <c r="C173" s="36">
        <v>2.4439180000000001E-2</v>
      </c>
      <c r="D173" s="36">
        <v>9.3715765300000003E-2</v>
      </c>
      <c r="E173" s="36">
        <v>1.97002703</v>
      </c>
    </row>
    <row r="174" spans="2:5" x14ac:dyDescent="0.25">
      <c r="B174" s="35">
        <v>45.75</v>
      </c>
      <c r="C174" s="36">
        <v>2.3963000000000002E-2</v>
      </c>
      <c r="D174" s="36">
        <v>8.9195886299999999E-2</v>
      </c>
      <c r="E174" s="36">
        <v>1.9833258499999999</v>
      </c>
    </row>
    <row r="175" spans="2:5" x14ac:dyDescent="0.25">
      <c r="B175" s="35">
        <v>46</v>
      </c>
      <c r="C175" s="36">
        <v>2.3482280000000001E-2</v>
      </c>
      <c r="D175" s="36">
        <v>8.4618741400000003E-2</v>
      </c>
      <c r="E175" s="36">
        <v>1.99656766</v>
      </c>
    </row>
    <row r="176" spans="2:5" x14ac:dyDescent="0.25">
      <c r="B176" s="35">
        <v>46.25</v>
      </c>
      <c r="C176" s="36">
        <v>2.2996900000000001E-2</v>
      </c>
      <c r="D176" s="36">
        <v>7.9983834700000006E-2</v>
      </c>
      <c r="E176" s="36">
        <v>2.0097528200000001</v>
      </c>
    </row>
    <row r="177" spans="2:5" x14ac:dyDescent="0.25">
      <c r="B177" s="35">
        <v>46.5</v>
      </c>
      <c r="C177" s="36">
        <v>2.25068E-2</v>
      </c>
      <c r="D177" s="36">
        <v>7.5290987599999998E-2</v>
      </c>
      <c r="E177" s="36">
        <v>2.02288172</v>
      </c>
    </row>
    <row r="178" spans="2:5" x14ac:dyDescent="0.25">
      <c r="B178" s="35">
        <v>46.75</v>
      </c>
      <c r="C178" s="36">
        <v>2.2011880000000001E-2</v>
      </c>
      <c r="D178" s="36">
        <v>7.0540624199999999E-2</v>
      </c>
      <c r="E178" s="36">
        <v>2.0359546900000001</v>
      </c>
    </row>
    <row r="179" spans="2:5" x14ac:dyDescent="0.25">
      <c r="B179" s="35">
        <v>47</v>
      </c>
      <c r="C179" s="36">
        <v>2.1512050000000001E-2</v>
      </c>
      <c r="D179" s="36">
        <v>6.5733763000000001E-2</v>
      </c>
      <c r="E179" s="36">
        <v>2.0489721099999998</v>
      </c>
    </row>
    <row r="180" spans="2:5" x14ac:dyDescent="0.25">
      <c r="B180" s="35">
        <v>47.25</v>
      </c>
      <c r="C180" s="36">
        <v>2.10072E-2</v>
      </c>
      <c r="D180" s="36">
        <v>6.0871793899999999E-2</v>
      </c>
      <c r="E180" s="36">
        <v>2.0619343400000001</v>
      </c>
    </row>
    <row r="181" spans="2:5" x14ac:dyDescent="0.25">
      <c r="B181" s="35">
        <v>47.5</v>
      </c>
      <c r="C181" s="36">
        <v>2.049724E-2</v>
      </c>
      <c r="D181" s="36">
        <v>5.59561118E-2</v>
      </c>
      <c r="E181" s="36">
        <v>2.0748417199999998</v>
      </c>
    </row>
    <row r="182" spans="2:5" x14ac:dyDescent="0.25">
      <c r="B182" s="35">
        <v>47.75</v>
      </c>
      <c r="C182" s="36">
        <v>1.9982070000000001E-2</v>
      </c>
      <c r="D182" s="36">
        <v>5.0988003800000001E-2</v>
      </c>
      <c r="E182" s="36">
        <v>2.0876945999999998</v>
      </c>
    </row>
    <row r="183" spans="2:5" x14ac:dyDescent="0.25">
      <c r="B183" s="35">
        <v>48</v>
      </c>
      <c r="C183" s="36">
        <v>1.9461579999999999E-2</v>
      </c>
      <c r="D183" s="36">
        <v>4.5968665700000001E-2</v>
      </c>
      <c r="E183" s="36">
        <v>2.10049332</v>
      </c>
    </row>
    <row r="184" spans="2:5" x14ac:dyDescent="0.25">
      <c r="B184" s="35">
        <v>48.25</v>
      </c>
      <c r="C184" s="36">
        <v>1.89357E-2</v>
      </c>
      <c r="D184" s="36">
        <v>4.0899225300000001E-2</v>
      </c>
      <c r="E184" s="36">
        <v>2.1132382000000001</v>
      </c>
    </row>
    <row r="185" spans="2:5" x14ac:dyDescent="0.25">
      <c r="B185" s="35">
        <v>48.5</v>
      </c>
      <c r="C185" s="36">
        <v>1.8404360000000002E-2</v>
      </c>
      <c r="D185" s="36">
        <v>3.5780946899999999E-2</v>
      </c>
      <c r="E185" s="36">
        <v>2.1259295800000002</v>
      </c>
    </row>
    <row r="186" spans="2:5" x14ac:dyDescent="0.25">
      <c r="B186" s="35">
        <v>48.75</v>
      </c>
      <c r="C186" s="36">
        <v>1.7867549999999999E-2</v>
      </c>
      <c r="D186" s="36">
        <v>3.0615302800000001E-2</v>
      </c>
      <c r="E186" s="36">
        <v>2.1385677799999998</v>
      </c>
    </row>
    <row r="187" spans="2:5" x14ac:dyDescent="0.25">
      <c r="B187" s="35">
        <v>49</v>
      </c>
      <c r="C187" s="36">
        <v>1.732527E-2</v>
      </c>
      <c r="D187" s="36">
        <v>2.54038553E-2</v>
      </c>
      <c r="E187" s="36">
        <v>2.15115313</v>
      </c>
    </row>
    <row r="188" spans="2:5" x14ac:dyDescent="0.25">
      <c r="B188" s="35">
        <v>49.25</v>
      </c>
      <c r="C188" s="36">
        <v>1.6777520000000001E-2</v>
      </c>
      <c r="D188" s="36">
        <v>2.0148171499999999E-2</v>
      </c>
      <c r="E188" s="36">
        <v>2.1636859500000001</v>
      </c>
    </row>
    <row r="189" spans="2:5" x14ac:dyDescent="0.25">
      <c r="B189" s="35">
        <v>49.5</v>
      </c>
      <c r="C189" s="36">
        <v>1.6224289999999999E-2</v>
      </c>
      <c r="D189" s="36">
        <v>1.48495594E-2</v>
      </c>
      <c r="E189" s="36">
        <v>2.1761665400000001</v>
      </c>
    </row>
    <row r="190" spans="2:5" x14ac:dyDescent="0.25">
      <c r="B190" s="35">
        <v>49.75</v>
      </c>
      <c r="C190" s="36">
        <v>1.566557E-2</v>
      </c>
      <c r="D190" s="36">
        <v>9.5091657000000007E-3</v>
      </c>
      <c r="E190" s="36">
        <v>2.1885952</v>
      </c>
    </row>
    <row r="191" spans="2:5" x14ac:dyDescent="0.25">
      <c r="B191" s="35">
        <v>50</v>
      </c>
      <c r="C191" s="36">
        <v>1.5101369999999999E-2</v>
      </c>
      <c r="D191" s="36">
        <v>4.1280262999999996E-3</v>
      </c>
      <c r="E191" s="36">
        <v>2.2009722300000001</v>
      </c>
    </row>
    <row r="192" spans="2:5" x14ac:dyDescent="0.25">
      <c r="B192" s="35">
        <v>50.25</v>
      </c>
      <c r="C192" s="36">
        <v>1.453168E-2</v>
      </c>
      <c r="D192" s="36">
        <v>-1.2929342E-3</v>
      </c>
      <c r="E192" s="36">
        <v>2.21329792</v>
      </c>
    </row>
    <row r="193" spans="2:5" x14ac:dyDescent="0.25">
      <c r="B193" s="35">
        <v>50.5</v>
      </c>
      <c r="C193" s="36">
        <v>1.395655E-2</v>
      </c>
      <c r="D193" s="36">
        <v>-6.7534932000000002E-3</v>
      </c>
      <c r="E193" s="36">
        <v>2.2255725700000002</v>
      </c>
    </row>
    <row r="194" spans="2:5" x14ac:dyDescent="0.25">
      <c r="B194" s="35">
        <v>50.75</v>
      </c>
      <c r="C194" s="36">
        <v>1.3375990000000001E-2</v>
      </c>
      <c r="D194" s="36">
        <v>-1.22534223E-2</v>
      </c>
      <c r="E194" s="36">
        <v>2.2377964800000001</v>
      </c>
    </row>
    <row r="195" spans="2:5" x14ac:dyDescent="0.25">
      <c r="B195" s="35">
        <v>51</v>
      </c>
      <c r="C195" s="36">
        <v>1.2790019999999999E-2</v>
      </c>
      <c r="D195" s="36">
        <v>-1.7792333E-2</v>
      </c>
      <c r="E195" s="36">
        <v>2.2499699500000001</v>
      </c>
    </row>
    <row r="196" spans="2:5" x14ac:dyDescent="0.25">
      <c r="B196" s="35">
        <v>51.25</v>
      </c>
      <c r="C196" s="36">
        <v>1.219862E-2</v>
      </c>
      <c r="D196" s="36">
        <v>-2.3369759899999999E-2</v>
      </c>
      <c r="E196" s="36">
        <v>2.2620932800000002</v>
      </c>
    </row>
    <row r="197" spans="2:5" x14ac:dyDescent="0.25">
      <c r="B197" s="35">
        <v>51.5</v>
      </c>
      <c r="C197" s="36">
        <v>1.1601780000000001E-2</v>
      </c>
      <c r="D197" s="36">
        <v>-2.89850808E-2</v>
      </c>
      <c r="E197" s="36">
        <v>2.27416682</v>
      </c>
    </row>
    <row r="198" spans="2:5" x14ac:dyDescent="0.25">
      <c r="B198" s="35">
        <v>51.75</v>
      </c>
      <c r="C198" s="36">
        <v>1.0999510000000001E-2</v>
      </c>
      <c r="D198" s="36">
        <v>-3.4637635E-2</v>
      </c>
      <c r="E198" s="36">
        <v>2.28619086</v>
      </c>
    </row>
    <row r="199" spans="2:5" x14ac:dyDescent="0.25">
      <c r="B199" s="35">
        <v>52</v>
      </c>
      <c r="C199" s="36">
        <v>1.039181E-2</v>
      </c>
      <c r="D199" s="36">
        <v>-4.0326791899999999E-2</v>
      </c>
      <c r="E199" s="36">
        <v>2.2981657200000001</v>
      </c>
    </row>
    <row r="200" spans="2:5" x14ac:dyDescent="0.25">
      <c r="B200" s="35">
        <v>52.25</v>
      </c>
      <c r="C200" s="36">
        <v>9.7786739999999994E-3</v>
      </c>
      <c r="D200" s="36">
        <v>-4.6052062900000003E-2</v>
      </c>
      <c r="E200" s="36">
        <v>2.3100917299999999</v>
      </c>
    </row>
    <row r="201" spans="2:5" x14ac:dyDescent="0.25">
      <c r="B201" s="35">
        <v>52.5</v>
      </c>
      <c r="C201" s="36">
        <v>9.1602060000000006E-3</v>
      </c>
      <c r="D201" s="36">
        <v>-5.1813416700000003E-2</v>
      </c>
      <c r="E201" s="36">
        <v>2.3219691999999998</v>
      </c>
    </row>
    <row r="202" spans="2:5" x14ac:dyDescent="0.25">
      <c r="B202" s="35">
        <v>52.75</v>
      </c>
      <c r="C202" s="36">
        <v>8.5365149999999997E-3</v>
      </c>
      <c r="D202" s="36">
        <v>-5.76109073E-2</v>
      </c>
      <c r="E202" s="36">
        <v>2.3337984600000001</v>
      </c>
    </row>
    <row r="203" spans="2:5" x14ac:dyDescent="0.25">
      <c r="B203" s="35">
        <v>53</v>
      </c>
      <c r="C203" s="36">
        <v>7.9077030000000003E-3</v>
      </c>
      <c r="D203" s="36">
        <v>-6.3444524899999993E-2</v>
      </c>
      <c r="E203" s="36">
        <v>2.3455797999999999</v>
      </c>
    </row>
    <row r="204" spans="2:5" x14ac:dyDescent="0.25">
      <c r="B204" s="35">
        <v>53.25</v>
      </c>
      <c r="C204" s="36">
        <v>7.2738580000000002E-3</v>
      </c>
      <c r="D204" s="36">
        <v>-6.9314214099999993E-2</v>
      </c>
      <c r="E204" s="36">
        <v>2.3573135500000002</v>
      </c>
    </row>
    <row r="205" spans="2:5" x14ac:dyDescent="0.25">
      <c r="B205" s="35">
        <v>53.5</v>
      </c>
      <c r="C205" s="36">
        <v>6.6350510000000003E-3</v>
      </c>
      <c r="D205" s="36">
        <v>-7.5219917999999997E-2</v>
      </c>
      <c r="E205" s="36">
        <v>2.3690000200000001</v>
      </c>
    </row>
    <row r="206" spans="2:5" x14ac:dyDescent="0.25">
      <c r="B206" s="35">
        <v>53.75</v>
      </c>
      <c r="C206" s="36">
        <v>5.9913570000000001E-3</v>
      </c>
      <c r="D206" s="36">
        <v>-8.1161488800000001E-2</v>
      </c>
      <c r="E206" s="36">
        <v>2.3806394900000001</v>
      </c>
    </row>
    <row r="207" spans="2:5" x14ac:dyDescent="0.25">
      <c r="B207" s="35">
        <v>54</v>
      </c>
      <c r="C207" s="36">
        <v>5.3428529999999998E-3</v>
      </c>
      <c r="D207" s="36">
        <v>-8.7138700400000005E-2</v>
      </c>
      <c r="E207" s="36">
        <v>2.39223227</v>
      </c>
    </row>
    <row r="208" spans="2:5" x14ac:dyDescent="0.25">
      <c r="B208" s="35">
        <v>54.25</v>
      </c>
      <c r="C208" s="36">
        <v>4.6896100000000003E-3</v>
      </c>
      <c r="D208" s="36">
        <v>-9.3151207999999999E-2</v>
      </c>
      <c r="E208" s="36">
        <v>2.4037786400000001</v>
      </c>
    </row>
    <row r="209" spans="2:5" x14ac:dyDescent="0.25">
      <c r="B209" s="35">
        <v>54.5</v>
      </c>
      <c r="C209" s="36">
        <v>4.0316670000000001E-3</v>
      </c>
      <c r="D209" s="36">
        <v>-9.9198613800000002E-2</v>
      </c>
      <c r="E209" s="36">
        <v>2.4152788699999999</v>
      </c>
    </row>
    <row r="210" spans="2:5" x14ac:dyDescent="0.25">
      <c r="B210" s="35">
        <v>54.75</v>
      </c>
      <c r="C210" s="36">
        <v>3.3690629999999998E-3</v>
      </c>
      <c r="D210" s="36">
        <v>-0.10528036490000001</v>
      </c>
      <c r="E210" s="36">
        <v>2.42673323</v>
      </c>
    </row>
    <row r="211" spans="2:5" x14ac:dyDescent="0.25">
      <c r="B211" s="35">
        <v>55</v>
      </c>
      <c r="C211" s="36">
        <v>2.7018340000000002E-3</v>
      </c>
      <c r="D211" s="36">
        <v>-0.1113957282</v>
      </c>
      <c r="E211" s="36">
        <v>2.4381419900000001</v>
      </c>
    </row>
    <row r="212" spans="2:5" x14ac:dyDescent="0.25">
      <c r="B212" s="35">
        <v>55.25</v>
      </c>
      <c r="C212" s="36">
        <v>2.0300399999999999E-3</v>
      </c>
      <c r="D212" s="36">
        <v>-0.11754392380000001</v>
      </c>
      <c r="E212" s="36">
        <v>2.4495054000000001</v>
      </c>
    </row>
    <row r="213" spans="2:5" x14ac:dyDescent="0.25">
      <c r="B213" s="35">
        <v>55.5</v>
      </c>
      <c r="C213" s="36">
        <v>1.353787E-3</v>
      </c>
      <c r="D213" s="36">
        <v>-0.123724326</v>
      </c>
      <c r="E213" s="36">
        <v>2.46082372</v>
      </c>
    </row>
    <row r="214" spans="2:5" x14ac:dyDescent="0.25">
      <c r="B214" s="35">
        <v>55.75</v>
      </c>
      <c r="C214" s="36">
        <v>6.7318710000000004E-4</v>
      </c>
      <c r="D214" s="36">
        <v>-0.1299361638</v>
      </c>
      <c r="E214" s="36">
        <v>2.4720972099999998</v>
      </c>
    </row>
    <row r="215" spans="2:5" x14ac:dyDescent="0.25">
      <c r="B215" s="35">
        <v>56</v>
      </c>
      <c r="C215" s="36">
        <v>-1.1642429999999999E-5</v>
      </c>
      <c r="D215" s="36">
        <v>-0.13617854309999999</v>
      </c>
      <c r="E215" s="36">
        <v>2.4833261200000001</v>
      </c>
    </row>
    <row r="216" spans="2:5" x14ac:dyDescent="0.25">
      <c r="B216" s="35">
        <v>56.25</v>
      </c>
      <c r="C216" s="36">
        <v>-7.0057819999999995E-4</v>
      </c>
      <c r="D216" s="36">
        <v>-0.14245055349999999</v>
      </c>
      <c r="E216" s="36">
        <v>2.4945107000000002</v>
      </c>
    </row>
    <row r="217" spans="2:5" x14ac:dyDescent="0.25">
      <c r="B217" s="35">
        <v>56.5</v>
      </c>
      <c r="C217" s="36">
        <v>-1.3934869999999999E-3</v>
      </c>
      <c r="D217" s="36">
        <v>-0.14875163350000001</v>
      </c>
      <c r="E217" s="36">
        <v>2.5056512099999999</v>
      </c>
    </row>
    <row r="218" spans="2:5" x14ac:dyDescent="0.25">
      <c r="B218" s="35">
        <v>56.75</v>
      </c>
      <c r="C218" s="36">
        <v>-2.0902400000000002E-3</v>
      </c>
      <c r="D218" s="36">
        <v>-0.1550812194</v>
      </c>
      <c r="E218" s="36">
        <v>2.51674788</v>
      </c>
    </row>
    <row r="219" spans="2:5" x14ac:dyDescent="0.25">
      <c r="B219" s="35">
        <v>57</v>
      </c>
      <c r="C219" s="36">
        <v>-2.7907100000000001E-3</v>
      </c>
      <c r="D219" s="36">
        <v>-0.16143870330000001</v>
      </c>
      <c r="E219" s="36">
        <v>2.5278009799999999</v>
      </c>
    </row>
    <row r="220" spans="2:5" x14ac:dyDescent="0.25">
      <c r="B220" s="35">
        <v>57.25</v>
      </c>
      <c r="C220" s="36">
        <v>-3.4947770000000001E-3</v>
      </c>
      <c r="D220" s="36">
        <v>-0.16782341840000001</v>
      </c>
      <c r="E220" s="36">
        <v>2.5388107199999999</v>
      </c>
    </row>
    <row r="221" spans="2:5" x14ac:dyDescent="0.25">
      <c r="B221" s="35">
        <v>57.5</v>
      </c>
      <c r="C221" s="36">
        <v>-4.2023420000000004E-3</v>
      </c>
      <c r="D221" s="36">
        <v>-0.17423459869999999</v>
      </c>
      <c r="E221" s="36">
        <v>2.5497773600000002</v>
      </c>
    </row>
    <row r="222" spans="2:5" x14ac:dyDescent="0.25">
      <c r="B222" s="35">
        <v>57.75</v>
      </c>
      <c r="C222" s="36">
        <v>-4.9133129999999999E-3</v>
      </c>
      <c r="D222" s="36">
        <v>-0.18067145379999999</v>
      </c>
      <c r="E222" s="36">
        <v>2.5607011100000001</v>
      </c>
    </row>
    <row r="223" spans="2:5" x14ac:dyDescent="0.25">
      <c r="B223" s="35">
        <v>58</v>
      </c>
      <c r="C223" s="36">
        <v>-5.6276080000000001E-3</v>
      </c>
      <c r="D223" s="36">
        <v>-0.18713308880000001</v>
      </c>
      <c r="E223" s="36">
        <v>2.5715822099999999</v>
      </c>
    </row>
    <row r="224" spans="2:5" x14ac:dyDescent="0.25">
      <c r="B224" s="35">
        <v>58.25</v>
      </c>
      <c r="C224" s="36">
        <v>-6.3451549999999999E-3</v>
      </c>
      <c r="D224" s="36">
        <v>-0.19361843810000001</v>
      </c>
      <c r="E224" s="36">
        <v>2.58242087</v>
      </c>
    </row>
    <row r="225" spans="2:5" x14ac:dyDescent="0.25">
      <c r="B225" s="35">
        <v>58.5</v>
      </c>
      <c r="C225" s="36">
        <v>-7.0659099999999999E-3</v>
      </c>
      <c r="D225" s="36">
        <v>-0.2001263381</v>
      </c>
      <c r="E225" s="36">
        <v>2.5932173399999998</v>
      </c>
    </row>
    <row r="226" spans="2:5" x14ac:dyDescent="0.25">
      <c r="B226" s="35">
        <v>58.75</v>
      </c>
      <c r="C226" s="36">
        <v>-7.789855E-3</v>
      </c>
      <c r="D226" s="36">
        <v>-0.20665552500000001</v>
      </c>
      <c r="E226" s="36">
        <v>2.6039718299999999</v>
      </c>
    </row>
    <row r="227" spans="2:5" x14ac:dyDescent="0.25">
      <c r="B227" s="35">
        <v>59</v>
      </c>
      <c r="C227" s="36">
        <v>-8.5169819999999993E-3</v>
      </c>
      <c r="D227" s="36">
        <v>-0.21320457379999999</v>
      </c>
      <c r="E227" s="36">
        <v>2.6146845700000001</v>
      </c>
    </row>
    <row r="228" spans="2:5" x14ac:dyDescent="0.25">
      <c r="B228" s="35">
        <v>59.25</v>
      </c>
      <c r="C228" s="36">
        <v>-9.2472890000000006E-3</v>
      </c>
      <c r="D228" s="36">
        <v>-0.21977199049999999</v>
      </c>
      <c r="E228" s="36">
        <v>2.62535578</v>
      </c>
    </row>
    <row r="229" spans="2:5" x14ac:dyDescent="0.25">
      <c r="B229" s="35">
        <v>59.5</v>
      </c>
      <c r="C229" s="36">
        <v>-9.9807760000000002E-3</v>
      </c>
      <c r="D229" s="36">
        <v>-0.22635625000000001</v>
      </c>
      <c r="E229" s="36">
        <v>2.6359857099999999</v>
      </c>
    </row>
    <row r="230" spans="2:5" x14ac:dyDescent="0.25">
      <c r="B230" s="35">
        <v>59.75</v>
      </c>
      <c r="C230" s="36">
        <v>-1.071744E-2</v>
      </c>
      <c r="D230" s="36">
        <v>-0.23295590369999999</v>
      </c>
      <c r="E230" s="36">
        <v>2.6465745699999998</v>
      </c>
    </row>
    <row r="231" spans="2:5" x14ac:dyDescent="0.25">
      <c r="B231" s="35">
        <v>60</v>
      </c>
      <c r="C231" s="36">
        <v>-1.145729E-2</v>
      </c>
      <c r="D231" s="36">
        <v>-0.23956955260000001</v>
      </c>
      <c r="E231" s="36">
        <v>2.6571225900000002</v>
      </c>
    </row>
    <row r="232" spans="2:5" x14ac:dyDescent="0.25">
      <c r="B232" s="35">
        <v>60.25</v>
      </c>
      <c r="C232" s="36">
        <v>-1.2200330000000001E-2</v>
      </c>
      <c r="D232" s="36">
        <v>-0.24619582670000001</v>
      </c>
      <c r="E232" s="36">
        <v>2.66762999</v>
      </c>
    </row>
    <row r="233" spans="2:5" x14ac:dyDescent="0.25">
      <c r="B233" s="35">
        <v>60.5</v>
      </c>
      <c r="C233" s="36">
        <v>-1.2946559999999999E-2</v>
      </c>
      <c r="D233" s="36">
        <v>-0.25283338750000001</v>
      </c>
      <c r="E233" s="36">
        <v>2.6780970000000002</v>
      </c>
    </row>
    <row r="234" spans="2:5" x14ac:dyDescent="0.25">
      <c r="B234" s="35">
        <v>60.75</v>
      </c>
      <c r="C234" s="36">
        <v>-1.369602E-2</v>
      </c>
      <c r="D234" s="36">
        <v>-0.25948079740000002</v>
      </c>
      <c r="E234" s="36">
        <v>2.6885238500000002</v>
      </c>
    </row>
    <row r="235" spans="2:5" x14ac:dyDescent="0.25">
      <c r="B235" s="35">
        <v>61</v>
      </c>
      <c r="C235" s="36">
        <v>-1.444873E-2</v>
      </c>
      <c r="D235" s="36">
        <v>-0.26613652700000001</v>
      </c>
      <c r="E235" s="36">
        <v>2.69891075</v>
      </c>
    </row>
    <row r="236" spans="2:5" x14ac:dyDescent="0.25">
      <c r="B236" s="35">
        <v>61.25</v>
      </c>
      <c r="C236" s="36">
        <v>-1.52047E-2</v>
      </c>
      <c r="D236" s="36">
        <v>-0.27279903379999998</v>
      </c>
      <c r="E236" s="36">
        <v>2.7092579400000001</v>
      </c>
    </row>
    <row r="237" spans="2:5" x14ac:dyDescent="0.25">
      <c r="B237" s="35">
        <v>61.5</v>
      </c>
      <c r="C237" s="36">
        <v>-1.5963910000000001E-2</v>
      </c>
      <c r="D237" s="36">
        <v>-0.27946686209999999</v>
      </c>
      <c r="E237" s="36">
        <v>2.7195656499999998</v>
      </c>
    </row>
    <row r="238" spans="2:5" x14ac:dyDescent="0.25">
      <c r="B238" s="35">
        <v>61.75</v>
      </c>
      <c r="C238" s="36">
        <v>-1.6726330000000001E-2</v>
      </c>
      <c r="D238" s="36">
        <v>-0.28613863169999998</v>
      </c>
      <c r="E238" s="36">
        <v>2.7298341399999999</v>
      </c>
    </row>
    <row r="239" spans="2:5" x14ac:dyDescent="0.25">
      <c r="B239" s="35">
        <v>62</v>
      </c>
      <c r="C239" s="36">
        <v>-1.7491940000000001E-2</v>
      </c>
      <c r="D239" s="36">
        <v>-0.2928130316</v>
      </c>
      <c r="E239" s="36">
        <v>2.7400636299999999</v>
      </c>
    </row>
    <row r="240" spans="2:5" x14ac:dyDescent="0.25">
      <c r="B240" s="35">
        <v>62.25</v>
      </c>
      <c r="C240" s="36">
        <v>-1.8260709999999999E-2</v>
      </c>
      <c r="D240" s="36">
        <v>-0.29948879360000003</v>
      </c>
      <c r="E240" s="36">
        <v>2.7502543799999999</v>
      </c>
    </row>
    <row r="241" spans="2:5" x14ac:dyDescent="0.25">
      <c r="B241" s="35">
        <v>62.5</v>
      </c>
      <c r="C241" s="36">
        <v>-1.903264E-2</v>
      </c>
      <c r="D241" s="36">
        <v>-0.30616463160000001</v>
      </c>
      <c r="E241" s="36">
        <v>2.7604066199999999</v>
      </c>
    </row>
    <row r="242" spans="2:5" x14ac:dyDescent="0.25">
      <c r="B242" s="35">
        <v>62.75</v>
      </c>
      <c r="C242" s="36">
        <v>-1.9807740000000001E-2</v>
      </c>
      <c r="D242" s="36">
        <v>-0.3128392532</v>
      </c>
      <c r="E242" s="36">
        <v>2.7705206000000002</v>
      </c>
    </row>
    <row r="243" spans="2:5" x14ac:dyDescent="0.25">
      <c r="B243" s="35">
        <v>63</v>
      </c>
      <c r="C243" s="36">
        <v>-2.0586009999999998E-2</v>
      </c>
      <c r="D243" s="36">
        <v>-0.31951134660000002</v>
      </c>
      <c r="E243" s="36">
        <v>2.7805965600000002</v>
      </c>
    </row>
    <row r="244" spans="2:5" x14ac:dyDescent="0.25">
      <c r="B244" s="35">
        <v>63.25</v>
      </c>
      <c r="C244" s="36">
        <v>-2.136743E-2</v>
      </c>
      <c r="D244" s="36">
        <v>-0.3261796206</v>
      </c>
      <c r="E244" s="36">
        <v>2.7906347299999998</v>
      </c>
    </row>
    <row r="245" spans="2:5" x14ac:dyDescent="0.25">
      <c r="B245" s="35">
        <v>63.5</v>
      </c>
      <c r="C245" s="36">
        <v>-2.2151939999999998E-2</v>
      </c>
      <c r="D245" s="36">
        <v>-0.3328429007</v>
      </c>
      <c r="E245" s="36">
        <v>2.8006353700000002</v>
      </c>
    </row>
    <row r="246" spans="2:5" x14ac:dyDescent="0.25">
      <c r="B246" s="35">
        <v>63.75</v>
      </c>
      <c r="C246" s="36">
        <v>-2.293947E-2</v>
      </c>
      <c r="D246" s="36">
        <v>-0.33950005420000001</v>
      </c>
      <c r="E246" s="36">
        <v>2.81059869</v>
      </c>
    </row>
    <row r="247" spans="2:5" x14ac:dyDescent="0.25">
      <c r="B247" s="35">
        <v>64</v>
      </c>
      <c r="C247" s="36">
        <v>-2.372995E-2</v>
      </c>
      <c r="D247" s="36">
        <v>-0.34614999660000001</v>
      </c>
      <c r="E247" s="36">
        <v>2.8205249499999998</v>
      </c>
    </row>
    <row r="248" spans="2:5" x14ac:dyDescent="0.25">
      <c r="B248" s="35">
        <v>64.25</v>
      </c>
      <c r="C248" s="36">
        <v>-2.452329E-2</v>
      </c>
      <c r="D248" s="36">
        <v>-0.35279176249999999</v>
      </c>
      <c r="E248" s="36">
        <v>2.8304143700000002</v>
      </c>
    </row>
    <row r="249" spans="2:5" x14ac:dyDescent="0.25">
      <c r="B249" s="35">
        <v>64.5</v>
      </c>
      <c r="C249" s="36">
        <v>-2.5319419999999999E-2</v>
      </c>
      <c r="D249" s="36">
        <v>-0.35942460500000001</v>
      </c>
      <c r="E249" s="36">
        <v>2.8402671900000001</v>
      </c>
    </row>
    <row r="250" spans="2:5" x14ac:dyDescent="0.25">
      <c r="B250" s="35">
        <v>64.75</v>
      </c>
      <c r="C250" s="36">
        <v>-2.6118240000000001E-2</v>
      </c>
      <c r="D250" s="36">
        <v>-0.3660478439</v>
      </c>
      <c r="E250" s="36">
        <v>2.8500836399999998</v>
      </c>
    </row>
    <row r="251" spans="2:5" x14ac:dyDescent="0.25">
      <c r="B251" s="35">
        <v>65</v>
      </c>
      <c r="C251" s="36">
        <v>-2.691967E-2</v>
      </c>
      <c r="D251" s="36">
        <v>-0.37266078289999999</v>
      </c>
      <c r="E251" s="36">
        <v>2.8598639700000001</v>
      </c>
    </row>
    <row r="252" spans="2:5" x14ac:dyDescent="0.25">
      <c r="B252" s="35">
        <v>65.25</v>
      </c>
      <c r="C252" s="36">
        <v>-2.7723609999999999E-2</v>
      </c>
      <c r="D252" s="36">
        <v>-0.37926276650000001</v>
      </c>
      <c r="E252" s="36">
        <v>2.8696084000000002</v>
      </c>
    </row>
    <row r="253" spans="2:5" x14ac:dyDescent="0.25">
      <c r="B253" s="35">
        <v>65.5</v>
      </c>
      <c r="C253" s="36">
        <v>-2.8529949999999998E-2</v>
      </c>
      <c r="D253" s="36">
        <v>-0.38585329880000002</v>
      </c>
      <c r="E253" s="36">
        <v>2.8793171700000002</v>
      </c>
    </row>
    <row r="254" spans="2:5" x14ac:dyDescent="0.25">
      <c r="B254" s="35">
        <v>65.75</v>
      </c>
      <c r="C254" s="36">
        <v>-2.9338590000000001E-2</v>
      </c>
      <c r="D254" s="36">
        <v>-0.39243187070000002</v>
      </c>
      <c r="E254" s="36">
        <v>2.8889905100000002</v>
      </c>
    </row>
    <row r="255" spans="2:5" x14ac:dyDescent="0.25">
      <c r="B255" s="35">
        <v>66</v>
      </c>
      <c r="C255" s="36">
        <v>-3.0149430000000001E-2</v>
      </c>
      <c r="D255" s="36">
        <v>-0.39899788419999999</v>
      </c>
      <c r="E255" s="36">
        <v>2.89862865</v>
      </c>
    </row>
    <row r="256" spans="2:5" x14ac:dyDescent="0.25">
      <c r="B256" s="35">
        <v>66.25</v>
      </c>
      <c r="C256" s="36">
        <v>-3.0962389999999999E-2</v>
      </c>
      <c r="D256" s="36">
        <v>-0.40555068630000002</v>
      </c>
      <c r="E256" s="36">
        <v>2.9082318200000001</v>
      </c>
    </row>
    <row r="257" spans="2:5" x14ac:dyDescent="0.25">
      <c r="B257" s="35">
        <v>66.5</v>
      </c>
      <c r="C257" s="36">
        <v>-3.1777380000000001E-2</v>
      </c>
      <c r="D257" s="36">
        <v>-0.4120896409</v>
      </c>
      <c r="E257" s="36">
        <v>2.9178002599999999</v>
      </c>
    </row>
    <row r="258" spans="2:5" x14ac:dyDescent="0.25">
      <c r="B258" s="35">
        <v>66.75</v>
      </c>
      <c r="C258" s="36">
        <v>-3.25943E-2</v>
      </c>
      <c r="D258" s="36">
        <v>-0.41861411770000001</v>
      </c>
      <c r="E258" s="36">
        <v>2.9273341799999999</v>
      </c>
    </row>
    <row r="259" spans="2:5" x14ac:dyDescent="0.25">
      <c r="B259" s="35">
        <v>67</v>
      </c>
      <c r="C259" s="36">
        <v>-3.3413060000000001E-2</v>
      </c>
      <c r="D259" s="36">
        <v>-0.42512349040000003</v>
      </c>
      <c r="E259" s="36">
        <v>2.93683381</v>
      </c>
    </row>
    <row r="260" spans="2:5" x14ac:dyDescent="0.25">
      <c r="B260" s="35">
        <v>67.25</v>
      </c>
      <c r="C260" s="36">
        <v>-3.4233569999999998E-2</v>
      </c>
      <c r="D260" s="36">
        <v>-0.431617156</v>
      </c>
      <c r="E260" s="36">
        <v>2.9462993700000002</v>
      </c>
    </row>
    <row r="261" spans="2:5" x14ac:dyDescent="0.25">
      <c r="B261" s="35">
        <v>67.5</v>
      </c>
      <c r="C261" s="36">
        <v>-3.5055719999999999E-2</v>
      </c>
      <c r="D261" s="36">
        <v>-0.43809457530000001</v>
      </c>
      <c r="E261" s="36">
        <v>2.9557310800000001</v>
      </c>
    </row>
    <row r="262" spans="2:5" x14ac:dyDescent="0.25">
      <c r="B262" s="35">
        <v>67.75</v>
      </c>
      <c r="C262" s="36">
        <v>-3.5879439999999999E-2</v>
      </c>
      <c r="D262" s="36">
        <v>-0.4445552042</v>
      </c>
      <c r="E262" s="36">
        <v>2.96512916</v>
      </c>
    </row>
    <row r="263" spans="2:5" x14ac:dyDescent="0.25">
      <c r="B263" s="35">
        <v>68</v>
      </c>
      <c r="C263" s="36">
        <v>-3.6704609999999999E-2</v>
      </c>
      <c r="D263" s="36">
        <v>-0.45099849190000002</v>
      </c>
      <c r="E263" s="36">
        <v>2.9744938300000001</v>
      </c>
    </row>
    <row r="264" spans="2:5" x14ac:dyDescent="0.25">
      <c r="B264" s="35">
        <v>68.25</v>
      </c>
      <c r="C264" s="36">
        <v>-3.7531139999999998E-2</v>
      </c>
      <c r="D264" s="36">
        <v>-0.45742390300000002</v>
      </c>
      <c r="E264" s="36">
        <v>2.9838252999999999</v>
      </c>
    </row>
    <row r="265" spans="2:5" x14ac:dyDescent="0.25">
      <c r="B265" s="35">
        <v>68.5</v>
      </c>
      <c r="C265" s="36">
        <v>-3.8358929999999999E-2</v>
      </c>
      <c r="D265" s="36">
        <v>-0.46383093190000002</v>
      </c>
      <c r="E265" s="36">
        <v>2.9931237799999999</v>
      </c>
    </row>
    <row r="266" spans="2:5" x14ac:dyDescent="0.25">
      <c r="B266" s="35">
        <v>68.75</v>
      </c>
      <c r="C266" s="36">
        <v>-3.918787E-2</v>
      </c>
      <c r="D266" s="36">
        <v>-0.47021906819999998</v>
      </c>
      <c r="E266" s="36">
        <v>3.0023894699999998</v>
      </c>
    </row>
    <row r="267" spans="2:5" x14ac:dyDescent="0.25">
      <c r="B267" s="35">
        <v>69</v>
      </c>
      <c r="C267" s="36">
        <v>-4.0017839999999999E-2</v>
      </c>
      <c r="D267" s="36">
        <v>-0.47658779810000002</v>
      </c>
      <c r="E267" s="36">
        <v>3.01162258</v>
      </c>
    </row>
    <row r="268" spans="2:5" x14ac:dyDescent="0.25">
      <c r="B268" s="35">
        <v>69.25</v>
      </c>
      <c r="C268" s="36">
        <v>-4.0848750000000003E-2</v>
      </c>
      <c r="D268" s="36">
        <v>-0.48293664720000001</v>
      </c>
      <c r="E268" s="36">
        <v>3.0208233</v>
      </c>
    </row>
    <row r="269" spans="2:5" x14ac:dyDescent="0.25">
      <c r="B269" s="35">
        <v>69.5</v>
      </c>
      <c r="C269" s="36">
        <v>-4.1680490000000001E-2</v>
      </c>
      <c r="D269" s="36">
        <v>-0.48926532</v>
      </c>
      <c r="E269" s="36">
        <v>3.0299918400000001</v>
      </c>
    </row>
    <row r="270" spans="2:5" x14ac:dyDescent="0.25">
      <c r="B270" s="35">
        <v>69.75</v>
      </c>
      <c r="C270" s="36">
        <v>-4.2512960000000002E-2</v>
      </c>
      <c r="D270" s="36">
        <v>-0.49557356190000001</v>
      </c>
      <c r="E270" s="36">
        <v>3.0391283900000001</v>
      </c>
    </row>
    <row r="271" spans="2:5" x14ac:dyDescent="0.25">
      <c r="B271" s="35">
        <v>70</v>
      </c>
      <c r="C271" s="36">
        <v>-4.3346049999999997E-2</v>
      </c>
      <c r="D271" s="36">
        <v>-0.50186111489999996</v>
      </c>
      <c r="E271" s="36">
        <v>3.0482331299999998</v>
      </c>
    </row>
    <row r="272" spans="2:5" x14ac:dyDescent="0.25">
      <c r="B272" s="35">
        <v>70.25</v>
      </c>
      <c r="C272" s="36">
        <v>-4.4179660000000003E-2</v>
      </c>
      <c r="D272" s="36">
        <v>-0.50812775399999999</v>
      </c>
      <c r="E272" s="36">
        <v>3.0573062599999998</v>
      </c>
    </row>
    <row r="273" spans="2:5" x14ac:dyDescent="0.25">
      <c r="B273" s="35">
        <v>70.5</v>
      </c>
      <c r="C273" s="36">
        <v>-4.5013669999999999E-2</v>
      </c>
      <c r="D273" s="36">
        <v>-0.51437339250000003</v>
      </c>
      <c r="E273" s="36">
        <v>3.0663479599999999</v>
      </c>
    </row>
    <row r="274" spans="2:5" x14ac:dyDescent="0.25">
      <c r="B274" s="35">
        <v>70.75</v>
      </c>
      <c r="C274" s="36">
        <v>-4.5847970000000002E-2</v>
      </c>
      <c r="D274" s="36">
        <v>-0.52059793840000002</v>
      </c>
      <c r="E274" s="36">
        <v>3.0753584200000001</v>
      </c>
    </row>
    <row r="275" spans="2:5" x14ac:dyDescent="0.25">
      <c r="B275" s="35">
        <v>71</v>
      </c>
      <c r="C275" s="36">
        <v>-4.6682439999999999E-2</v>
      </c>
      <c r="D275" s="36">
        <v>-0.5268012581</v>
      </c>
      <c r="E275" s="36">
        <v>3.0843378399999999</v>
      </c>
    </row>
    <row r="276" spans="2:5" x14ac:dyDescent="0.25">
      <c r="B276" s="35">
        <v>71.25</v>
      </c>
      <c r="C276" s="36">
        <v>-4.7516990000000002E-2</v>
      </c>
      <c r="D276" s="36">
        <v>-0.53298318550000001</v>
      </c>
      <c r="E276" s="36">
        <v>3.0932863899999998</v>
      </c>
    </row>
    <row r="277" spans="2:5" x14ac:dyDescent="0.25">
      <c r="B277" s="35">
        <v>71.5</v>
      </c>
      <c r="C277" s="36">
        <v>-4.8351529999999997E-2</v>
      </c>
      <c r="D277" s="36">
        <v>-0.53914357999999996</v>
      </c>
      <c r="E277" s="36">
        <v>3.1022042700000001</v>
      </c>
    </row>
    <row r="278" spans="2:5" x14ac:dyDescent="0.25">
      <c r="B278" s="35">
        <v>71.75</v>
      </c>
      <c r="C278" s="36">
        <v>-4.9185979999999997E-2</v>
      </c>
      <c r="D278" s="36">
        <v>-0.54528230629999996</v>
      </c>
      <c r="E278" s="36">
        <v>3.11109167</v>
      </c>
    </row>
    <row r="279" spans="2:5" x14ac:dyDescent="0.25">
      <c r="B279" s="35">
        <v>72</v>
      </c>
      <c r="C279" s="36">
        <v>-5.0020259999999997E-2</v>
      </c>
      <c r="D279" s="36">
        <v>-0.55139924039999999</v>
      </c>
      <c r="E279" s="36">
        <v>3.1199487800000001</v>
      </c>
    </row>
    <row r="280" spans="2:5" x14ac:dyDescent="0.25">
      <c r="B280" s="35">
        <v>72.25</v>
      </c>
      <c r="C280" s="36">
        <v>-5.0854290000000003E-2</v>
      </c>
      <c r="D280" s="36">
        <v>-0.55749426290000004</v>
      </c>
      <c r="E280" s="36">
        <v>3.1287757799999998</v>
      </c>
    </row>
    <row r="281" spans="2:5" x14ac:dyDescent="0.25">
      <c r="B281" s="35">
        <v>72.5</v>
      </c>
      <c r="C281" s="36">
        <v>-5.1687990000000003E-2</v>
      </c>
      <c r="D281" s="36">
        <v>-0.56356731319999998</v>
      </c>
      <c r="E281" s="36">
        <v>3.1375728500000002</v>
      </c>
    </row>
    <row r="282" spans="2:5" x14ac:dyDescent="0.25">
      <c r="B282" s="35">
        <v>72.75</v>
      </c>
      <c r="C282" s="36">
        <v>-5.2521289999999998E-2</v>
      </c>
      <c r="D282" s="36">
        <v>-0.56961834140000001</v>
      </c>
      <c r="E282" s="36">
        <v>3.1463401800000002</v>
      </c>
    </row>
    <row r="283" spans="2:5" x14ac:dyDescent="0.25">
      <c r="B283" s="35">
        <v>73</v>
      </c>
      <c r="C283" s="36">
        <v>-5.335413E-2</v>
      </c>
      <c r="D283" s="36">
        <v>-0.57564728080000005</v>
      </c>
      <c r="E283" s="36">
        <v>3.1550779499999999</v>
      </c>
    </row>
    <row r="284" spans="2:5" x14ac:dyDescent="0.25">
      <c r="B284" s="35">
        <v>73.25</v>
      </c>
      <c r="C284" s="36">
        <v>-5.4186430000000001E-2</v>
      </c>
      <c r="D284" s="36">
        <v>-0.58165404980000002</v>
      </c>
      <c r="E284" s="36">
        <v>3.1637863300000002</v>
      </c>
    </row>
    <row r="285" spans="2:5" x14ac:dyDescent="0.25">
      <c r="B285" s="35">
        <v>73.5</v>
      </c>
      <c r="C285" s="36">
        <v>-5.5018150000000002E-2</v>
      </c>
      <c r="D285" s="36">
        <v>-0.58763856489999999</v>
      </c>
      <c r="E285" s="36">
        <v>3.1724654999999999</v>
      </c>
    </row>
    <row r="286" spans="2:5" x14ac:dyDescent="0.25">
      <c r="B286" s="35">
        <v>73.75</v>
      </c>
      <c r="C286" s="36">
        <v>-5.5849240000000001E-2</v>
      </c>
      <c r="D286" s="36">
        <v>-0.59360073989999995</v>
      </c>
      <c r="E286" s="36">
        <v>3.1811156299999999</v>
      </c>
    </row>
    <row r="287" spans="2:5" x14ac:dyDescent="0.25">
      <c r="B287" s="35">
        <v>74</v>
      </c>
      <c r="C287" s="36">
        <v>-5.6679630000000002E-2</v>
      </c>
      <c r="D287" s="36">
        <v>-0.59954049249999997</v>
      </c>
      <c r="E287" s="36">
        <v>3.1897369200000001</v>
      </c>
    </row>
    <row r="288" spans="2:5" x14ac:dyDescent="0.25">
      <c r="B288" s="35">
        <v>74.25</v>
      </c>
      <c r="C288" s="36">
        <v>-5.7509280000000003E-2</v>
      </c>
      <c r="D288" s="36">
        <v>-0.60545774320000001</v>
      </c>
      <c r="E288" s="36">
        <v>3.1983295200000001</v>
      </c>
    </row>
    <row r="289" spans="2:5" x14ac:dyDescent="0.25">
      <c r="B289" s="35">
        <v>74.5</v>
      </c>
      <c r="C289" s="36">
        <v>-5.8338149999999998E-2</v>
      </c>
      <c r="D289" s="36">
        <v>-0.61135241569999998</v>
      </c>
      <c r="E289" s="36">
        <v>3.2068936300000002</v>
      </c>
    </row>
    <row r="290" spans="2:5" x14ac:dyDescent="0.25">
      <c r="B290" s="35">
        <v>74.75</v>
      </c>
      <c r="C290" s="36">
        <v>-5.9166209999999997E-2</v>
      </c>
      <c r="D290" s="36">
        <v>-0.61722441890000002</v>
      </c>
      <c r="E290" s="36">
        <v>3.21542941</v>
      </c>
    </row>
    <row r="291" spans="2:5" x14ac:dyDescent="0.25">
      <c r="B291" s="35">
        <v>75</v>
      </c>
      <c r="C291" s="36">
        <v>-5.9993409999999997E-2</v>
      </c>
      <c r="D291" s="36">
        <v>-0.62307364519999997</v>
      </c>
      <c r="E291" s="36">
        <v>3.22393705</v>
      </c>
    </row>
    <row r="292" spans="2:5" x14ac:dyDescent="0.25">
      <c r="B292" s="35">
        <v>75.25</v>
      </c>
      <c r="C292" s="36">
        <v>-6.0819739999999997E-2</v>
      </c>
      <c r="D292" s="36">
        <v>-0.62889999750000003</v>
      </c>
      <c r="E292" s="36">
        <v>3.2324167099999999</v>
      </c>
    </row>
    <row r="293" spans="2:5" x14ac:dyDescent="0.25">
      <c r="B293" s="35">
        <v>75.5</v>
      </c>
      <c r="C293" s="36">
        <v>-6.1645140000000001E-2</v>
      </c>
      <c r="D293" s="36">
        <v>-0.63470342719999995</v>
      </c>
      <c r="E293" s="36">
        <v>3.2408685799999999</v>
      </c>
    </row>
    <row r="294" spans="2:5" x14ac:dyDescent="0.25">
      <c r="B294" s="35">
        <v>75.75</v>
      </c>
      <c r="C294" s="36">
        <v>-6.2469589999999998E-2</v>
      </c>
      <c r="D294" s="36">
        <v>-0.6404838933</v>
      </c>
      <c r="E294" s="36">
        <v>3.24929281</v>
      </c>
    </row>
    <row r="295" spans="2:5" x14ac:dyDescent="0.25">
      <c r="B295" s="35">
        <v>76</v>
      </c>
      <c r="C295" s="36">
        <v>-6.3293059999999998E-2</v>
      </c>
      <c r="D295" s="36">
        <v>-0.64624135900000002</v>
      </c>
      <c r="E295" s="36">
        <v>3.25768959</v>
      </c>
    </row>
    <row r="296" spans="2:5" x14ac:dyDescent="0.25">
      <c r="B296" s="35">
        <v>76.25</v>
      </c>
      <c r="C296" s="36">
        <v>-6.4115500000000006E-2</v>
      </c>
      <c r="D296" s="36">
        <v>-0.65197578639999998</v>
      </c>
      <c r="E296" s="36">
        <v>3.2660590599999999</v>
      </c>
    </row>
    <row r="297" spans="2:5" x14ac:dyDescent="0.25">
      <c r="B297" s="35">
        <v>76.5</v>
      </c>
      <c r="C297" s="36">
        <v>-6.4936889999999997E-2</v>
      </c>
      <c r="D297" s="36">
        <v>-0.65768712789999995</v>
      </c>
      <c r="E297" s="36">
        <v>3.27440139</v>
      </c>
    </row>
    <row r="298" spans="2:5" x14ac:dyDescent="0.25">
      <c r="B298" s="35">
        <v>76.75</v>
      </c>
      <c r="C298" s="36">
        <v>-6.5757200000000002E-2</v>
      </c>
      <c r="D298" s="36">
        <v>-0.66337533900000001</v>
      </c>
      <c r="E298" s="36">
        <v>3.2827167500000001</v>
      </c>
    </row>
    <row r="299" spans="2:5" x14ac:dyDescent="0.25">
      <c r="B299" s="35">
        <v>77</v>
      </c>
      <c r="C299" s="36">
        <v>-6.6576399999999994E-2</v>
      </c>
      <c r="D299" s="36">
        <v>-0.66904038519999998</v>
      </c>
      <c r="E299" s="36">
        <v>3.2910052900000002</v>
      </c>
    </row>
    <row r="300" spans="2:5" x14ac:dyDescent="0.25">
      <c r="B300" s="35">
        <v>77.25</v>
      </c>
      <c r="C300" s="36">
        <v>-6.7394460000000003E-2</v>
      </c>
      <c r="D300" s="36">
        <v>-0.67468227000000003</v>
      </c>
      <c r="E300" s="36">
        <v>3.2992671599999999</v>
      </c>
    </row>
    <row r="301" spans="2:5" x14ac:dyDescent="0.25">
      <c r="B301" s="35">
        <v>77.5</v>
      </c>
      <c r="C301" s="36">
        <v>-6.8211339999999995E-2</v>
      </c>
      <c r="D301" s="36">
        <v>-0.68030113059999997</v>
      </c>
      <c r="E301" s="36">
        <v>3.3075025299999998</v>
      </c>
    </row>
    <row r="302" spans="2:5" x14ac:dyDescent="0.25">
      <c r="B302" s="35">
        <v>77.75</v>
      </c>
      <c r="C302" s="36">
        <v>-6.9026989999999996E-2</v>
      </c>
      <c r="D302" s="36">
        <v>-0.68589712599999997</v>
      </c>
      <c r="E302" s="36">
        <v>3.3157115400000001</v>
      </c>
    </row>
    <row r="303" spans="2:5" x14ac:dyDescent="0.25">
      <c r="B303" s="35">
        <v>78</v>
      </c>
      <c r="C303" s="36">
        <v>-6.9841379999999995E-2</v>
      </c>
      <c r="D303" s="36">
        <v>-0.69147040859999997</v>
      </c>
      <c r="E303" s="36">
        <v>3.3238943600000002</v>
      </c>
    </row>
    <row r="304" spans="2:5" x14ac:dyDescent="0.25">
      <c r="B304" s="35">
        <v>78.25</v>
      </c>
      <c r="C304" s="36">
        <v>-7.0654439999999999E-2</v>
      </c>
      <c r="D304" s="36">
        <v>-0.69702112660000004</v>
      </c>
      <c r="E304" s="36">
        <v>3.3320511399999999</v>
      </c>
    </row>
    <row r="305" spans="2:5" x14ac:dyDescent="0.25">
      <c r="B305" s="35">
        <v>78.5</v>
      </c>
      <c r="C305" s="36">
        <v>-7.1466139999999997E-2</v>
      </c>
      <c r="D305" s="36">
        <v>-0.70254945310000005</v>
      </c>
      <c r="E305" s="36">
        <v>3.3401820299999998</v>
      </c>
    </row>
    <row r="306" spans="2:5" x14ac:dyDescent="0.25">
      <c r="B306" s="35">
        <v>78.75</v>
      </c>
      <c r="C306" s="36">
        <v>-7.2276409999999999E-2</v>
      </c>
      <c r="D306" s="36">
        <v>-0.70805556709999995</v>
      </c>
      <c r="E306" s="36">
        <v>3.3482871799999998</v>
      </c>
    </row>
    <row r="307" spans="2:5" x14ac:dyDescent="0.25">
      <c r="B307" s="35">
        <v>79</v>
      </c>
      <c r="C307" s="36">
        <v>-7.3085200000000003E-2</v>
      </c>
      <c r="D307" s="36">
        <v>-0.71353965180000001</v>
      </c>
      <c r="E307" s="36">
        <v>3.3563667499999998</v>
      </c>
    </row>
    <row r="308" spans="2:5" x14ac:dyDescent="0.25">
      <c r="B308" s="35">
        <v>79.25</v>
      </c>
      <c r="C308" s="36">
        <v>-7.3892449999999998E-2</v>
      </c>
      <c r="D308" s="36">
        <v>-0.7190018896</v>
      </c>
      <c r="E308" s="36">
        <v>3.3644208799999999</v>
      </c>
    </row>
    <row r="309" spans="2:5" x14ac:dyDescent="0.25">
      <c r="B309" s="35">
        <v>79.5</v>
      </c>
      <c r="C309" s="36">
        <v>-7.4698109999999998E-2</v>
      </c>
      <c r="D309" s="36">
        <v>-0.72444247299999998</v>
      </c>
      <c r="E309" s="36">
        <v>3.37244973</v>
      </c>
    </row>
    <row r="310" spans="2:5" x14ac:dyDescent="0.25">
      <c r="B310" s="35">
        <v>79.75</v>
      </c>
      <c r="C310" s="36">
        <v>-7.5502120000000006E-2</v>
      </c>
      <c r="D310" s="36">
        <v>-0.72986159679999996</v>
      </c>
      <c r="E310" s="36">
        <v>3.3804534400000001</v>
      </c>
    </row>
    <row r="311" spans="2:5" x14ac:dyDescent="0.25">
      <c r="B311" s="35">
        <v>80</v>
      </c>
      <c r="C311" s="36">
        <v>-7.6304430000000006E-2</v>
      </c>
      <c r="D311" s="36">
        <v>-0.73525945329999998</v>
      </c>
      <c r="E311" s="36">
        <v>3.3884321599999998</v>
      </c>
    </row>
    <row r="312" spans="2:5" x14ac:dyDescent="0.25">
      <c r="B312" s="35">
        <v>80.25</v>
      </c>
      <c r="C312" s="36">
        <v>-7.7104989999999998E-2</v>
      </c>
      <c r="D312" s="36">
        <v>-0.74063623899999997</v>
      </c>
      <c r="E312" s="36">
        <v>3.3963860399999999</v>
      </c>
    </row>
    <row r="313" spans="2:5" x14ac:dyDescent="0.25">
      <c r="B313" s="35">
        <v>80.5</v>
      </c>
      <c r="C313" s="36">
        <v>-7.7903769999999997E-2</v>
      </c>
      <c r="D313" s="36">
        <v>-0.74599217350000002</v>
      </c>
      <c r="E313" s="36">
        <v>3.40431521</v>
      </c>
    </row>
    <row r="314" spans="2:5" x14ac:dyDescent="0.25">
      <c r="B314" s="35">
        <v>80.75</v>
      </c>
      <c r="C314" s="36">
        <v>-7.8700720000000002E-2</v>
      </c>
      <c r="D314" s="36">
        <v>-0.75132748130000004</v>
      </c>
      <c r="E314" s="36">
        <v>3.4122198400000001</v>
      </c>
    </row>
    <row r="315" spans="2:5" x14ac:dyDescent="0.25">
      <c r="B315" s="35">
        <v>81</v>
      </c>
      <c r="C315" s="36">
        <v>-7.9495800000000005E-2</v>
      </c>
      <c r="D315" s="36">
        <v>-0.75664238689999996</v>
      </c>
      <c r="E315" s="36">
        <v>3.4201000600000002</v>
      </c>
    </row>
    <row r="316" spans="2:5" x14ac:dyDescent="0.25">
      <c r="B316" s="35">
        <v>81.25</v>
      </c>
      <c r="C316" s="36">
        <v>-8.0288999999999999E-2</v>
      </c>
      <c r="D316" s="36">
        <v>-0.76193710410000004</v>
      </c>
      <c r="E316" s="36">
        <v>3.4279560299999998</v>
      </c>
    </row>
    <row r="317" spans="2:5" x14ac:dyDescent="0.25">
      <c r="B317" s="35">
        <v>81.5</v>
      </c>
      <c r="C317" s="36">
        <v>-8.1080289999999999E-2</v>
      </c>
      <c r="D317" s="36">
        <v>-0.76721181449999998</v>
      </c>
      <c r="E317" s="36">
        <v>3.4357878799999999</v>
      </c>
    </row>
    <row r="318" spans="2:5" x14ac:dyDescent="0.25">
      <c r="B318" s="35">
        <v>81.75</v>
      </c>
      <c r="C318" s="36">
        <v>-8.1869670000000005E-2</v>
      </c>
      <c r="D318" s="36">
        <v>-0.77246668979999999</v>
      </c>
      <c r="E318" s="36">
        <v>3.44359576</v>
      </c>
    </row>
    <row r="319" spans="2:5" x14ac:dyDescent="0.25">
      <c r="B319" s="35">
        <v>82</v>
      </c>
      <c r="C319" s="36">
        <v>-8.2657120000000001E-2</v>
      </c>
      <c r="D319" s="36">
        <v>-0.77770189980000004</v>
      </c>
      <c r="E319" s="36">
        <v>3.4513798200000001</v>
      </c>
    </row>
    <row r="320" spans="2:5" x14ac:dyDescent="0.25">
      <c r="B320" s="35">
        <v>82.25</v>
      </c>
      <c r="C320" s="36">
        <v>-8.3442649999999993E-2</v>
      </c>
      <c r="D320" s="36">
        <v>-0.78291761640000002</v>
      </c>
      <c r="E320" s="36">
        <v>3.4591402100000002</v>
      </c>
    </row>
    <row r="321" spans="2:5" x14ac:dyDescent="0.25">
      <c r="B321" s="35">
        <v>82.5</v>
      </c>
      <c r="C321" s="36">
        <v>-8.4226229999999999E-2</v>
      </c>
      <c r="D321" s="36">
        <v>-0.78811402620000004</v>
      </c>
      <c r="E321" s="36">
        <v>3.4668770599999998</v>
      </c>
    </row>
    <row r="322" spans="2:5" x14ac:dyDescent="0.25">
      <c r="B322" s="35">
        <v>82.75</v>
      </c>
      <c r="C322" s="36">
        <v>-8.5007869999999999E-2</v>
      </c>
      <c r="D322" s="36">
        <v>-0.79329131750000004</v>
      </c>
      <c r="E322" s="36">
        <v>3.47459052</v>
      </c>
    </row>
    <row r="323" spans="2:5" x14ac:dyDescent="0.25">
      <c r="B323" s="35">
        <v>83</v>
      </c>
      <c r="C323" s="36">
        <v>-8.5787539999999995E-2</v>
      </c>
      <c r="D323" s="36">
        <v>-0.79844967619999996</v>
      </c>
      <c r="E323" s="36">
        <v>3.4822807299999998</v>
      </c>
    </row>
    <row r="324" spans="2:5" x14ac:dyDescent="0.25">
      <c r="B324" s="35">
        <v>83.25</v>
      </c>
      <c r="C324" s="36">
        <v>-8.6565240000000002E-2</v>
      </c>
      <c r="D324" s="36">
        <v>-0.80358929649999999</v>
      </c>
      <c r="E324" s="36">
        <v>3.4899478199999998</v>
      </c>
    </row>
    <row r="325" spans="2:5" x14ac:dyDescent="0.25">
      <c r="B325" s="35">
        <v>83.5</v>
      </c>
      <c r="C325" s="36">
        <v>-8.7340940000000006E-2</v>
      </c>
      <c r="D325" s="36">
        <v>-0.80871041180000003</v>
      </c>
      <c r="E325" s="36">
        <v>3.49759194</v>
      </c>
    </row>
    <row r="326" spans="2:5" x14ac:dyDescent="0.25">
      <c r="B326" s="35">
        <v>83.75</v>
      </c>
      <c r="C326" s="36">
        <v>-8.8114639999999994E-2</v>
      </c>
      <c r="D326" s="36">
        <v>-0.81381326259999998</v>
      </c>
      <c r="E326" s="36">
        <v>3.5052132199999999</v>
      </c>
    </row>
    <row r="327" spans="2:5" x14ac:dyDescent="0.25">
      <c r="B327" s="35">
        <v>84</v>
      </c>
      <c r="C327" s="36">
        <v>-8.8886320000000005E-2</v>
      </c>
      <c r="D327" s="36">
        <v>-0.81889808620000004</v>
      </c>
      <c r="E327" s="36">
        <v>3.5128118000000002</v>
      </c>
    </row>
    <row r="328" spans="2:5" x14ac:dyDescent="0.25">
      <c r="B328" s="35">
        <v>84.25</v>
      </c>
      <c r="C328" s="36">
        <v>-8.9655960000000007E-2</v>
      </c>
      <c r="D328" s="36">
        <v>-0.82396511819999996</v>
      </c>
      <c r="E328" s="36">
        <v>3.5203878199999998</v>
      </c>
    </row>
    <row r="329" spans="2:5" x14ac:dyDescent="0.25">
      <c r="B329" s="35">
        <v>84.5</v>
      </c>
      <c r="C329" s="36">
        <v>-9.042356E-2</v>
      </c>
      <c r="D329" s="36">
        <v>-0.8290145981</v>
      </c>
      <c r="E329" s="36">
        <v>3.5279414</v>
      </c>
    </row>
    <row r="330" spans="2:5" x14ac:dyDescent="0.25">
      <c r="B330" s="35">
        <v>84.75</v>
      </c>
      <c r="C330" s="36">
        <v>-9.118909E-2</v>
      </c>
      <c r="D330" s="36">
        <v>-0.83404676369999997</v>
      </c>
      <c r="E330" s="36">
        <v>3.5354726699999999</v>
      </c>
    </row>
    <row r="331" spans="2:5" x14ac:dyDescent="0.25">
      <c r="B331" s="35">
        <v>85</v>
      </c>
      <c r="C331" s="36">
        <v>-9.1952560000000003E-2</v>
      </c>
      <c r="D331" s="36">
        <v>-0.83906184949999996</v>
      </c>
      <c r="E331" s="36">
        <v>3.5429817799999999</v>
      </c>
    </row>
    <row r="332" spans="2:5" x14ac:dyDescent="0.25">
      <c r="B332" s="35">
        <v>85.25</v>
      </c>
      <c r="C332" s="36">
        <v>-9.2713959999999998E-2</v>
      </c>
      <c r="D332" s="36">
        <v>-0.84406009189999998</v>
      </c>
      <c r="E332" s="36">
        <v>3.5504688500000001</v>
      </c>
    </row>
    <row r="333" spans="2:5" x14ac:dyDescent="0.25">
      <c r="B333" s="35">
        <v>85.5</v>
      </c>
      <c r="C333" s="36">
        <v>-9.3473269999999997E-2</v>
      </c>
      <c r="D333" s="36">
        <v>-0.84904174340000005</v>
      </c>
      <c r="E333" s="36">
        <v>3.5579339999999999</v>
      </c>
    </row>
    <row r="334" spans="2:5" x14ac:dyDescent="0.25">
      <c r="B334" s="35">
        <v>85.75</v>
      </c>
      <c r="C334" s="36">
        <v>-9.4230510000000003E-2</v>
      </c>
      <c r="D334" s="36">
        <v>-0.8540070582</v>
      </c>
      <c r="E334" s="36">
        <v>3.5653773700000002</v>
      </c>
    </row>
    <row r="335" spans="2:5" x14ac:dyDescent="0.25">
      <c r="B335" s="35">
        <v>86</v>
      </c>
      <c r="C335" s="36">
        <v>-9.4985669999999994E-2</v>
      </c>
      <c r="D335" s="36">
        <v>-0.85895628670000002</v>
      </c>
      <c r="E335" s="36">
        <v>3.5727990699999999</v>
      </c>
    </row>
    <row r="336" spans="2:5" x14ac:dyDescent="0.25">
      <c r="B336" s="35">
        <v>86.25</v>
      </c>
      <c r="C336" s="36">
        <v>-9.5738749999999997E-2</v>
      </c>
      <c r="D336" s="36">
        <v>-0.86388967250000004</v>
      </c>
      <c r="E336" s="36">
        <v>3.5801992399999998</v>
      </c>
    </row>
    <row r="337" spans="2:5" x14ac:dyDescent="0.25">
      <c r="B337" s="35">
        <v>86.5</v>
      </c>
      <c r="C337" s="36">
        <v>-9.6489749999999999E-2</v>
      </c>
      <c r="D337" s="36">
        <v>-0.86880744330000004</v>
      </c>
      <c r="E337" s="36">
        <v>3.5875780000000002</v>
      </c>
    </row>
    <row r="338" spans="2:5" x14ac:dyDescent="0.25">
      <c r="B338" s="35">
        <v>86.75</v>
      </c>
      <c r="C338" s="36">
        <v>-9.7238679999999994E-2</v>
      </c>
      <c r="D338" s="36">
        <v>-0.87370982019999999</v>
      </c>
      <c r="E338" s="36">
        <v>3.5949354800000002</v>
      </c>
    </row>
    <row r="339" spans="2:5" x14ac:dyDescent="0.25">
      <c r="B339" s="35">
        <v>87</v>
      </c>
      <c r="C339" s="36">
        <v>-9.7985530000000001E-2</v>
      </c>
      <c r="D339" s="36">
        <v>-0.87859702129999995</v>
      </c>
      <c r="E339" s="36">
        <v>3.6022717800000001</v>
      </c>
    </row>
    <row r="340" spans="2:5" x14ac:dyDescent="0.25">
      <c r="B340" s="35">
        <v>87.25</v>
      </c>
      <c r="C340" s="36">
        <v>-9.8730310000000002E-2</v>
      </c>
      <c r="D340" s="36">
        <v>-0.88346925899999995</v>
      </c>
      <c r="E340" s="36">
        <v>3.6095870400000001</v>
      </c>
    </row>
    <row r="341" spans="2:5" x14ac:dyDescent="0.25">
      <c r="B341" s="35">
        <v>87.5</v>
      </c>
      <c r="C341" s="36">
        <v>-9.9473030000000004E-2</v>
      </c>
      <c r="D341" s="36">
        <v>-0.88832673230000003</v>
      </c>
      <c r="E341" s="36">
        <v>3.6168813700000002</v>
      </c>
    </row>
    <row r="342" spans="2:5" x14ac:dyDescent="0.25">
      <c r="B342" s="35">
        <v>87.75</v>
      </c>
      <c r="C342" s="36">
        <v>-0.1002137</v>
      </c>
      <c r="D342" s="36">
        <v>-0.89316963469999999</v>
      </c>
      <c r="E342" s="36">
        <v>3.6241548899999998</v>
      </c>
    </row>
    <row r="343" spans="2:5" x14ac:dyDescent="0.25">
      <c r="B343" s="35">
        <v>88</v>
      </c>
      <c r="C343" s="36">
        <v>-0.10095229999999999</v>
      </c>
      <c r="D343" s="36">
        <v>-0.89799815709999997</v>
      </c>
      <c r="E343" s="36">
        <v>3.6314077299999998</v>
      </c>
    </row>
    <row r="344" spans="2:5" x14ac:dyDescent="0.25">
      <c r="B344" s="35">
        <v>88.25</v>
      </c>
      <c r="C344" s="36">
        <v>-0.1016888</v>
      </c>
      <c r="D344" s="36">
        <v>-0.90281248290000005</v>
      </c>
      <c r="E344" s="36">
        <v>3.6386399900000002</v>
      </c>
    </row>
    <row r="345" spans="2:5" x14ac:dyDescent="0.25">
      <c r="B345" s="35">
        <v>88.5</v>
      </c>
      <c r="C345" s="36">
        <v>-0.1024234</v>
      </c>
      <c r="D345" s="36">
        <v>-0.90761277350000003</v>
      </c>
      <c r="E345" s="36">
        <v>3.6458518</v>
      </c>
    </row>
    <row r="346" spans="2:5" x14ac:dyDescent="0.25">
      <c r="B346" s="35">
        <v>88.75</v>
      </c>
      <c r="C346" s="36">
        <v>-0.10315580000000001</v>
      </c>
      <c r="D346" s="36">
        <v>-0.91239918330000003</v>
      </c>
      <c r="E346" s="36">
        <v>3.65304326</v>
      </c>
    </row>
    <row r="347" spans="2:5" x14ac:dyDescent="0.25">
      <c r="B347" s="35">
        <v>89</v>
      </c>
      <c r="C347" s="36">
        <v>-0.1038863</v>
      </c>
      <c r="D347" s="36">
        <v>-0.91717186449999999</v>
      </c>
      <c r="E347" s="36">
        <v>3.6602144999999999</v>
      </c>
    </row>
    <row r="348" spans="2:5" x14ac:dyDescent="0.25">
      <c r="B348" s="35">
        <v>89.25</v>
      </c>
      <c r="C348" s="36">
        <v>-0.1046147</v>
      </c>
      <c r="D348" s="36">
        <v>-0.92193096370000005</v>
      </c>
      <c r="E348" s="36">
        <v>3.66736562</v>
      </c>
    </row>
    <row r="349" spans="2:5" x14ac:dyDescent="0.25">
      <c r="B349" s="35">
        <v>89.5</v>
      </c>
      <c r="C349" s="36">
        <v>-0.10534109999999999</v>
      </c>
      <c r="D349" s="36">
        <v>-0.92667660910000005</v>
      </c>
      <c r="E349" s="36">
        <v>3.6744967399999999</v>
      </c>
    </row>
    <row r="350" spans="2:5" x14ac:dyDescent="0.25">
      <c r="B350" s="35">
        <v>89.75</v>
      </c>
      <c r="C350" s="36">
        <v>-0.10606549999999999</v>
      </c>
      <c r="D350" s="36">
        <v>-0.93140892310000001</v>
      </c>
      <c r="E350" s="36">
        <v>3.68160797</v>
      </c>
    </row>
    <row r="351" spans="2:5" x14ac:dyDescent="0.25">
      <c r="B351" s="35">
        <v>90</v>
      </c>
      <c r="C351" s="36">
        <v>-0.1067878</v>
      </c>
      <c r="D351" s="36">
        <v>-0.93612802709999998</v>
      </c>
      <c r="E351" s="36">
        <v>3.6886994099999999</v>
      </c>
    </row>
    <row r="352" spans="2:5" x14ac:dyDescent="0.25">
      <c r="B352" s="35"/>
      <c r="C352" s="36"/>
      <c r="D352" s="36"/>
      <c r="E352" s="36"/>
    </row>
    <row r="353" spans="2:5" x14ac:dyDescent="0.25">
      <c r="B353" s="35"/>
      <c r="C353" s="36"/>
      <c r="D353" s="36"/>
      <c r="E353" s="36"/>
    </row>
    <row r="354" spans="2:5" x14ac:dyDescent="0.25">
      <c r="B354" s="35"/>
      <c r="C354" s="36"/>
      <c r="D354" s="36"/>
      <c r="E354" s="36"/>
    </row>
    <row r="355" spans="2:5" x14ac:dyDescent="0.25">
      <c r="B355" s="35"/>
      <c r="C355" s="36"/>
      <c r="D355" s="36"/>
      <c r="E355" s="36"/>
    </row>
    <row r="356" spans="2:5" x14ac:dyDescent="0.25">
      <c r="B356" s="35"/>
      <c r="C356" s="36"/>
      <c r="D356" s="36"/>
      <c r="E356" s="36"/>
    </row>
    <row r="357" spans="2:5" x14ac:dyDescent="0.25">
      <c r="B357" s="35"/>
      <c r="C357" s="36"/>
      <c r="D357" s="36"/>
      <c r="E357" s="36"/>
    </row>
    <row r="358" spans="2:5" x14ac:dyDescent="0.25">
      <c r="B358" s="35"/>
      <c r="C358" s="36"/>
      <c r="D358" s="36"/>
      <c r="E358" s="36"/>
    </row>
    <row r="359" spans="2:5" x14ac:dyDescent="0.25">
      <c r="B359" s="35"/>
      <c r="C359" s="36"/>
      <c r="D359" s="36"/>
      <c r="E359" s="36"/>
    </row>
    <row r="360" spans="2:5" x14ac:dyDescent="0.25">
      <c r="B360" s="35"/>
      <c r="C360" s="36"/>
      <c r="D360" s="36"/>
      <c r="E360" s="36"/>
    </row>
    <row r="361" spans="2:5" x14ac:dyDescent="0.25">
      <c r="B361" s="35"/>
      <c r="C361" s="36"/>
      <c r="D361" s="36"/>
      <c r="E361" s="36"/>
    </row>
    <row r="362" spans="2:5" x14ac:dyDescent="0.25">
      <c r="B362" s="35"/>
      <c r="C362" s="36"/>
      <c r="D362" s="36"/>
      <c r="E362" s="36"/>
    </row>
    <row r="363" spans="2:5" x14ac:dyDescent="0.25">
      <c r="B363" s="35"/>
      <c r="C363" s="36"/>
      <c r="D363" s="36"/>
      <c r="E363" s="36"/>
    </row>
    <row r="364" spans="2:5" x14ac:dyDescent="0.25">
      <c r="B364" s="35"/>
      <c r="C364" s="36"/>
      <c r="D364" s="36"/>
      <c r="E364" s="36"/>
    </row>
    <row r="365" spans="2:5" x14ac:dyDescent="0.25">
      <c r="B365" s="35"/>
      <c r="C365" s="36"/>
      <c r="D365" s="36"/>
      <c r="E365" s="36"/>
    </row>
    <row r="366" spans="2:5" x14ac:dyDescent="0.25">
      <c r="B366" s="35"/>
      <c r="C366" s="36"/>
      <c r="D366" s="36"/>
      <c r="E366" s="36"/>
    </row>
    <row r="367" spans="2:5" x14ac:dyDescent="0.25">
      <c r="B367" s="35"/>
      <c r="C367" s="36"/>
      <c r="D367" s="36"/>
      <c r="E367" s="36"/>
    </row>
    <row r="368" spans="2:5" x14ac:dyDescent="0.25">
      <c r="B368" s="35"/>
      <c r="C368" s="36"/>
      <c r="D368" s="36"/>
      <c r="E368" s="36"/>
    </row>
    <row r="369" spans="2:5" x14ac:dyDescent="0.25">
      <c r="B369" s="35"/>
      <c r="C369" s="36"/>
      <c r="D369" s="36"/>
      <c r="E369" s="36"/>
    </row>
    <row r="370" spans="2:5" x14ac:dyDescent="0.25">
      <c r="B370" s="35"/>
      <c r="C370" s="36"/>
      <c r="D370" s="36"/>
      <c r="E370" s="36"/>
    </row>
    <row r="371" spans="2:5" x14ac:dyDescent="0.25">
      <c r="B371" s="35"/>
      <c r="C371" s="36"/>
      <c r="D371" s="36"/>
      <c r="E371" s="36"/>
    </row>
  </sheetData>
  <mergeCells count="11">
    <mergeCell ref="U3:V3"/>
    <mergeCell ref="X3:Y3"/>
    <mergeCell ref="B1:E1"/>
    <mergeCell ref="G1:O1"/>
    <mergeCell ref="Q1:Y1"/>
    <mergeCell ref="H2:O2"/>
    <mergeCell ref="R2:Y2"/>
    <mergeCell ref="H3:I3"/>
    <mergeCell ref="K3:L3"/>
    <mergeCell ref="N3:O3"/>
    <mergeCell ref="R3:S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6C5A0-A35E-4585-8979-AD5D58ECEEB1}">
  <dimension ref="D1:R17"/>
  <sheetViews>
    <sheetView workbookViewId="0">
      <selection activeCell="O46" sqref="O46"/>
    </sheetView>
  </sheetViews>
  <sheetFormatPr defaultColWidth="9.109375" defaultRowHeight="12" x14ac:dyDescent="0.25"/>
  <cols>
    <col min="1" max="5" width="9.109375" style="1"/>
    <col min="6" max="6" width="9.109375" style="89"/>
    <col min="7" max="8" width="9.109375" style="1"/>
    <col min="9" max="9" width="9.109375" style="89"/>
    <col min="10" max="16384" width="9.109375" style="1"/>
  </cols>
  <sheetData>
    <row r="1" spans="4:18" ht="15.6" thickTop="1" thickBot="1" x14ac:dyDescent="0.35">
      <c r="D1" s="141" t="s">
        <v>161</v>
      </c>
      <c r="E1" s="142"/>
      <c r="F1" s="142"/>
      <c r="G1" s="142"/>
      <c r="H1" s="142"/>
      <c r="I1" s="142"/>
      <c r="J1" s="142"/>
      <c r="K1" s="142"/>
      <c r="L1" s="143"/>
      <c r="R1" s="12"/>
    </row>
    <row r="2" spans="4:18" ht="12.6" thickTop="1" x14ac:dyDescent="0.25">
      <c r="D2" s="40"/>
      <c r="E2" s="144" t="s">
        <v>47</v>
      </c>
      <c r="F2" s="145"/>
      <c r="G2" s="145"/>
      <c r="H2" s="145"/>
      <c r="I2" s="145"/>
      <c r="J2" s="145"/>
      <c r="K2" s="166"/>
      <c r="L2" s="167"/>
    </row>
    <row r="3" spans="4:18" x14ac:dyDescent="0.25">
      <c r="D3" s="42"/>
      <c r="E3" s="158" t="s">
        <v>41</v>
      </c>
      <c r="F3" s="159"/>
      <c r="H3" s="160" t="s">
        <v>42</v>
      </c>
      <c r="I3" s="159"/>
      <c r="K3" s="161" t="s">
        <v>43</v>
      </c>
      <c r="L3" s="170"/>
    </row>
    <row r="4" spans="4:18" x14ac:dyDescent="0.25">
      <c r="D4" s="48" t="s">
        <v>1</v>
      </c>
      <c r="E4" s="49" t="s">
        <v>2</v>
      </c>
      <c r="F4" s="102">
        <v>-9.2847399999999993</v>
      </c>
      <c r="H4" s="51" t="s">
        <v>27</v>
      </c>
      <c r="I4" s="102">
        <v>-1.7947</v>
      </c>
      <c r="K4" s="51" t="s">
        <v>31</v>
      </c>
      <c r="L4" s="71">
        <v>1</v>
      </c>
    </row>
    <row r="5" spans="4:18" x14ac:dyDescent="0.25">
      <c r="D5" s="48" t="s">
        <v>49</v>
      </c>
      <c r="E5" s="49" t="s">
        <v>3</v>
      </c>
      <c r="F5" s="102">
        <v>1.95265</v>
      </c>
      <c r="H5" s="52"/>
      <c r="I5" s="116"/>
      <c r="K5" s="51"/>
      <c r="L5" s="71"/>
    </row>
    <row r="6" spans="4:18" x14ac:dyDescent="0.25">
      <c r="D6" s="48" t="s">
        <v>48</v>
      </c>
      <c r="E6" s="49" t="s">
        <v>4</v>
      </c>
      <c r="F6" s="102">
        <v>2.947E-2</v>
      </c>
      <c r="H6" s="51" t="s">
        <v>28</v>
      </c>
      <c r="I6" s="102">
        <v>-6.6549999999999998E-2</v>
      </c>
      <c r="K6" s="51" t="s">
        <v>32</v>
      </c>
      <c r="L6" s="65">
        <v>0</v>
      </c>
    </row>
    <row r="7" spans="4:18" x14ac:dyDescent="0.25">
      <c r="D7" s="48" t="s">
        <v>50</v>
      </c>
      <c r="E7" s="49" t="s">
        <v>5</v>
      </c>
      <c r="F7" s="102">
        <v>0</v>
      </c>
      <c r="H7" s="51" t="s">
        <v>29</v>
      </c>
      <c r="I7" s="102">
        <v>0</v>
      </c>
      <c r="K7" s="51"/>
      <c r="L7" s="53"/>
    </row>
    <row r="8" spans="4:18" x14ac:dyDescent="0.25">
      <c r="D8" s="48" t="s">
        <v>51</v>
      </c>
      <c r="E8" s="49" t="s">
        <v>6</v>
      </c>
      <c r="F8" s="102">
        <v>0</v>
      </c>
      <c r="H8" s="51" t="s">
        <v>30</v>
      </c>
      <c r="I8" s="102">
        <v>0</v>
      </c>
      <c r="K8" s="51"/>
      <c r="L8" s="53"/>
    </row>
    <row r="9" spans="4:18" x14ac:dyDescent="0.25">
      <c r="D9" s="48" t="s">
        <v>52</v>
      </c>
      <c r="E9" s="49" t="s">
        <v>38</v>
      </c>
      <c r="F9" s="102">
        <v>0</v>
      </c>
      <c r="H9" s="51" t="s">
        <v>44</v>
      </c>
      <c r="I9" s="102">
        <v>0</v>
      </c>
      <c r="K9" s="51"/>
      <c r="L9" s="53"/>
    </row>
    <row r="10" spans="4:18" x14ac:dyDescent="0.25">
      <c r="D10" s="56"/>
      <c r="E10" s="57"/>
      <c r="F10" s="95"/>
      <c r="H10" s="59"/>
      <c r="I10" s="95"/>
      <c r="K10" s="59"/>
      <c r="L10" s="62"/>
    </row>
    <row r="13" spans="4:18" ht="14.4" x14ac:dyDescent="0.3">
      <c r="D13" s="2" t="s">
        <v>154</v>
      </c>
      <c r="E13" s="7"/>
      <c r="I13" s="117" t="s">
        <v>136</v>
      </c>
      <c r="J13" s="84"/>
    </row>
    <row r="14" spans="4:18" ht="14.4" x14ac:dyDescent="0.3">
      <c r="D14" s="1" t="s">
        <v>135</v>
      </c>
      <c r="I14" s="118"/>
    </row>
    <row r="15" spans="4:18" ht="14.4" x14ac:dyDescent="0.3">
      <c r="D15" s="1" t="s">
        <v>134</v>
      </c>
      <c r="I15" s="117" t="s">
        <v>146</v>
      </c>
      <c r="J15" s="84"/>
      <c r="K15" s="7"/>
      <c r="L15" s="12"/>
    </row>
    <row r="16" spans="4:18" ht="14.4" x14ac:dyDescent="0.3">
      <c r="D16" s="1" t="s">
        <v>37</v>
      </c>
      <c r="I16" s="118"/>
      <c r="K16" s="7"/>
      <c r="L16" s="12"/>
    </row>
    <row r="17" spans="9:10" ht="14.4" x14ac:dyDescent="0.3">
      <c r="I17" s="117" t="s">
        <v>155</v>
      </c>
      <c r="J17" s="84"/>
    </row>
  </sheetData>
  <mergeCells count="5">
    <mergeCell ref="D1:L1"/>
    <mergeCell ref="E2:L2"/>
    <mergeCell ref="E3:F3"/>
    <mergeCell ref="H3:I3"/>
    <mergeCell ref="K3:L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8B560-6495-4974-BC15-15056A4056F0}">
  <dimension ref="C1:Q17"/>
  <sheetViews>
    <sheetView workbookViewId="0">
      <selection activeCell="H15" sqref="H15:H17"/>
    </sheetView>
  </sheetViews>
  <sheetFormatPr defaultColWidth="9.109375" defaultRowHeight="12" x14ac:dyDescent="0.25"/>
  <cols>
    <col min="1" max="4" width="9.109375" style="1"/>
    <col min="5" max="5" width="9.109375" style="89"/>
    <col min="6" max="7" width="9.109375" style="1"/>
    <col min="8" max="8" width="9.109375" style="89"/>
    <col min="9" max="16384" width="9.109375" style="1"/>
  </cols>
  <sheetData>
    <row r="1" spans="3:17" ht="15.6" thickTop="1" thickBot="1" x14ac:dyDescent="0.35">
      <c r="C1" s="141" t="s">
        <v>161</v>
      </c>
      <c r="D1" s="142"/>
      <c r="E1" s="142"/>
      <c r="F1" s="142"/>
      <c r="G1" s="142"/>
      <c r="H1" s="142"/>
      <c r="I1" s="142"/>
      <c r="J1" s="142"/>
      <c r="K1" s="143"/>
    </row>
    <row r="2" spans="3:17" ht="12.6" thickTop="1" x14ac:dyDescent="0.25">
      <c r="C2" s="40"/>
      <c r="D2" s="144" t="s">
        <v>47</v>
      </c>
      <c r="E2" s="145"/>
      <c r="F2" s="145"/>
      <c r="G2" s="145"/>
      <c r="H2" s="145"/>
      <c r="I2" s="145"/>
      <c r="J2" s="166"/>
      <c r="K2" s="167"/>
    </row>
    <row r="3" spans="3:17" x14ac:dyDescent="0.25">
      <c r="C3" s="42"/>
      <c r="D3" s="158" t="s">
        <v>41</v>
      </c>
      <c r="E3" s="159"/>
      <c r="G3" s="160" t="s">
        <v>42</v>
      </c>
      <c r="H3" s="159"/>
      <c r="J3" s="161" t="s">
        <v>43</v>
      </c>
      <c r="K3" s="170"/>
      <c r="Q3" s="12"/>
    </row>
    <row r="4" spans="3:17" x14ac:dyDescent="0.25">
      <c r="C4" s="48" t="s">
        <v>1</v>
      </c>
      <c r="D4" s="49" t="s">
        <v>2</v>
      </c>
      <c r="E4" s="102">
        <v>-10.023910000000001</v>
      </c>
      <c r="G4" s="51" t="s">
        <v>27</v>
      </c>
      <c r="H4" s="102">
        <v>-1.62649</v>
      </c>
      <c r="J4" s="51" t="s">
        <v>31</v>
      </c>
      <c r="K4" s="71">
        <v>1</v>
      </c>
      <c r="Q4" s="12"/>
    </row>
    <row r="5" spans="3:17" x14ac:dyDescent="0.25">
      <c r="C5" s="48" t="s">
        <v>49</v>
      </c>
      <c r="D5" s="49" t="s">
        <v>3</v>
      </c>
      <c r="E5" s="102">
        <v>2.11226</v>
      </c>
      <c r="G5" s="52"/>
      <c r="H5" s="116"/>
      <c r="J5" s="51"/>
      <c r="K5" s="71"/>
    </row>
    <row r="6" spans="3:17" x14ac:dyDescent="0.25">
      <c r="C6" s="48" t="s">
        <v>48</v>
      </c>
      <c r="D6" s="49" t="s">
        <v>4</v>
      </c>
      <c r="E6" s="102">
        <v>1.9369999999999998E-2</v>
      </c>
      <c r="G6" s="51" t="s">
        <v>28</v>
      </c>
      <c r="H6" s="102">
        <v>-8.2820000000000005E-2</v>
      </c>
      <c r="J6" s="51" t="s">
        <v>32</v>
      </c>
      <c r="K6" s="65">
        <v>0</v>
      </c>
    </row>
    <row r="7" spans="3:17" x14ac:dyDescent="0.25">
      <c r="C7" s="48" t="s">
        <v>50</v>
      </c>
      <c r="D7" s="49" t="s">
        <v>5</v>
      </c>
      <c r="E7" s="102">
        <v>0</v>
      </c>
      <c r="G7" s="51" t="s">
        <v>29</v>
      </c>
      <c r="H7" s="102">
        <v>0</v>
      </c>
      <c r="J7" s="51"/>
      <c r="K7" s="53"/>
    </row>
    <row r="8" spans="3:17" x14ac:dyDescent="0.25">
      <c r="C8" s="48" t="s">
        <v>51</v>
      </c>
      <c r="D8" s="49" t="s">
        <v>6</v>
      </c>
      <c r="E8" s="102">
        <v>0</v>
      </c>
      <c r="G8" s="51" t="s">
        <v>30</v>
      </c>
      <c r="H8" s="102">
        <v>0</v>
      </c>
      <c r="J8" s="51"/>
      <c r="K8" s="53"/>
    </row>
    <row r="9" spans="3:17" x14ac:dyDescent="0.25">
      <c r="C9" s="48" t="s">
        <v>52</v>
      </c>
      <c r="D9" s="49" t="s">
        <v>38</v>
      </c>
      <c r="E9" s="102">
        <v>0</v>
      </c>
      <c r="G9" s="51" t="s">
        <v>44</v>
      </c>
      <c r="H9" s="102">
        <v>0</v>
      </c>
      <c r="J9" s="51"/>
      <c r="K9" s="53"/>
    </row>
    <row r="10" spans="3:17" x14ac:dyDescent="0.25">
      <c r="C10" s="56"/>
      <c r="D10" s="57"/>
      <c r="E10" s="95"/>
      <c r="G10" s="59"/>
      <c r="H10" s="95"/>
      <c r="J10" s="59"/>
      <c r="K10" s="62"/>
    </row>
    <row r="13" spans="3:17" ht="14.4" x14ac:dyDescent="0.3">
      <c r="C13" s="2" t="s">
        <v>154</v>
      </c>
      <c r="D13" s="7"/>
      <c r="H13" s="117" t="s">
        <v>136</v>
      </c>
      <c r="I13" s="84"/>
    </row>
    <row r="14" spans="3:17" ht="14.4" x14ac:dyDescent="0.3">
      <c r="C14" s="1" t="s">
        <v>135</v>
      </c>
      <c r="H14" s="118"/>
    </row>
    <row r="15" spans="3:17" ht="14.4" x14ac:dyDescent="0.3">
      <c r="C15" s="1" t="s">
        <v>134</v>
      </c>
      <c r="H15" s="117" t="s">
        <v>146</v>
      </c>
      <c r="I15" s="84"/>
      <c r="J15" s="7"/>
      <c r="K15" s="12"/>
    </row>
    <row r="16" spans="3:17" ht="14.4" x14ac:dyDescent="0.3">
      <c r="C16" s="1" t="s">
        <v>37</v>
      </c>
      <c r="H16" s="118"/>
      <c r="J16" s="7"/>
      <c r="K16" s="12"/>
    </row>
    <row r="17" spans="8:9" ht="14.4" x14ac:dyDescent="0.3">
      <c r="H17" s="117" t="s">
        <v>155</v>
      </c>
      <c r="I17" s="84"/>
    </row>
  </sheetData>
  <mergeCells count="5">
    <mergeCell ref="C1:K1"/>
    <mergeCell ref="D2:K2"/>
    <mergeCell ref="D3:E3"/>
    <mergeCell ref="G3:H3"/>
    <mergeCell ref="J3:K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FF637-367B-46AF-88C1-82C62D0CD5D2}">
  <dimension ref="D1:R16"/>
  <sheetViews>
    <sheetView workbookViewId="0">
      <selection activeCell="D14" sqref="D14:D15"/>
    </sheetView>
  </sheetViews>
  <sheetFormatPr defaultColWidth="9.109375" defaultRowHeight="12" x14ac:dyDescent="0.25"/>
  <cols>
    <col min="1" max="5" width="9.109375" style="1"/>
    <col min="6" max="6" width="9.109375" style="89"/>
    <col min="7" max="8" width="9.109375" style="1"/>
    <col min="9" max="9" width="9.109375" style="89"/>
    <col min="10" max="16384" width="9.109375" style="1"/>
  </cols>
  <sheetData>
    <row r="1" spans="4:18" ht="15.6" thickTop="1" thickBot="1" x14ac:dyDescent="0.35">
      <c r="D1" s="141" t="s">
        <v>161</v>
      </c>
      <c r="E1" s="142"/>
      <c r="F1" s="142"/>
      <c r="G1" s="142"/>
      <c r="H1" s="142"/>
      <c r="I1" s="142"/>
      <c r="J1" s="142"/>
      <c r="K1" s="142"/>
      <c r="L1" s="143"/>
    </row>
    <row r="2" spans="4:18" ht="12.6" thickTop="1" x14ac:dyDescent="0.25">
      <c r="D2" s="40"/>
      <c r="E2" s="144" t="s">
        <v>47</v>
      </c>
      <c r="F2" s="145"/>
      <c r="G2" s="145"/>
      <c r="H2" s="145"/>
      <c r="I2" s="145"/>
      <c r="J2" s="145"/>
      <c r="K2" s="166"/>
      <c r="L2" s="167"/>
    </row>
    <row r="3" spans="4:18" x14ac:dyDescent="0.25">
      <c r="D3" s="42"/>
      <c r="E3" s="158" t="s">
        <v>41</v>
      </c>
      <c r="F3" s="159"/>
      <c r="H3" s="160" t="s">
        <v>42</v>
      </c>
      <c r="I3" s="159"/>
      <c r="K3" s="161" t="s">
        <v>43</v>
      </c>
      <c r="L3" s="170"/>
      <c r="R3" s="12"/>
    </row>
    <row r="4" spans="4:18" x14ac:dyDescent="0.25">
      <c r="D4" s="48" t="s">
        <v>1</v>
      </c>
      <c r="E4" s="49" t="s">
        <v>2</v>
      </c>
      <c r="F4" s="102">
        <v>0.51741999999999999</v>
      </c>
      <c r="H4" s="51" t="s">
        <v>27</v>
      </c>
      <c r="I4" s="102">
        <v>-2.4569999999999999</v>
      </c>
      <c r="K4" s="51" t="s">
        <v>31</v>
      </c>
      <c r="L4" s="71">
        <v>2.7970000000000002</v>
      </c>
      <c r="R4" s="12"/>
    </row>
    <row r="5" spans="4:18" x14ac:dyDescent="0.25">
      <c r="D5" s="48" t="s">
        <v>49</v>
      </c>
      <c r="E5" s="49" t="s">
        <v>3</v>
      </c>
      <c r="F5" s="102">
        <v>-9.4039999999999999E-2</v>
      </c>
      <c r="H5" s="52"/>
      <c r="I5" s="116"/>
      <c r="K5" s="51"/>
      <c r="L5" s="71"/>
    </row>
    <row r="6" spans="4:18" x14ac:dyDescent="0.25">
      <c r="D6" s="48" t="s">
        <v>48</v>
      </c>
      <c r="E6" s="49" t="s">
        <v>4</v>
      </c>
      <c r="F6" s="102">
        <v>-0.13239000000000001</v>
      </c>
      <c r="H6" s="51" t="s">
        <v>28</v>
      </c>
      <c r="I6" s="102">
        <v>0</v>
      </c>
      <c r="K6" s="51" t="s">
        <v>32</v>
      </c>
      <c r="L6" s="65"/>
    </row>
    <row r="7" spans="4:18" x14ac:dyDescent="0.25">
      <c r="D7" s="48" t="s">
        <v>50</v>
      </c>
      <c r="E7" s="49" t="s">
        <v>5</v>
      </c>
      <c r="F7" s="102">
        <v>0</v>
      </c>
      <c r="H7" s="51" t="s">
        <v>29</v>
      </c>
      <c r="I7" s="102">
        <v>0</v>
      </c>
      <c r="K7" s="51" t="s">
        <v>26</v>
      </c>
      <c r="L7" s="53"/>
    </row>
    <row r="8" spans="4:18" x14ac:dyDescent="0.25">
      <c r="D8" s="48" t="s">
        <v>51</v>
      </c>
      <c r="E8" s="49" t="s">
        <v>6</v>
      </c>
      <c r="F8" s="102">
        <v>0</v>
      </c>
      <c r="H8" s="51" t="s">
        <v>30</v>
      </c>
      <c r="I8" s="102">
        <v>0</v>
      </c>
      <c r="K8" s="51"/>
      <c r="L8" s="53"/>
    </row>
    <row r="9" spans="4:18" x14ac:dyDescent="0.25">
      <c r="D9" s="48" t="s">
        <v>52</v>
      </c>
      <c r="E9" s="49" t="s">
        <v>38</v>
      </c>
      <c r="F9" s="102">
        <v>0</v>
      </c>
      <c r="H9" s="51" t="s">
        <v>44</v>
      </c>
      <c r="I9" s="102">
        <v>0</v>
      </c>
      <c r="K9" s="51"/>
      <c r="L9" s="53"/>
    </row>
    <row r="10" spans="4:18" x14ac:dyDescent="0.25">
      <c r="D10" s="56"/>
      <c r="E10" s="57"/>
      <c r="F10" s="95"/>
      <c r="H10" s="59"/>
      <c r="I10" s="95"/>
      <c r="K10" s="59"/>
      <c r="L10" s="62"/>
    </row>
    <row r="13" spans="4:18" x14ac:dyDescent="0.25">
      <c r="D13" s="2" t="s">
        <v>156</v>
      </c>
      <c r="E13" s="7"/>
    </row>
    <row r="14" spans="4:18" ht="14.4" x14ac:dyDescent="0.3">
      <c r="D14" s="1" t="s">
        <v>173</v>
      </c>
      <c r="I14" s="117" t="s">
        <v>146</v>
      </c>
    </row>
    <row r="15" spans="4:18" ht="14.4" x14ac:dyDescent="0.3">
      <c r="D15" s="1" t="s">
        <v>174</v>
      </c>
      <c r="I15" s="118"/>
      <c r="L15" s="12"/>
    </row>
    <row r="16" spans="4:18" ht="14.4" x14ac:dyDescent="0.3">
      <c r="D16" s="1" t="s">
        <v>37</v>
      </c>
      <c r="I16" s="117" t="s">
        <v>155</v>
      </c>
      <c r="L16" s="12"/>
    </row>
  </sheetData>
  <mergeCells count="5">
    <mergeCell ref="D1:L1"/>
    <mergeCell ref="E2:L2"/>
    <mergeCell ref="E3:F3"/>
    <mergeCell ref="H3:I3"/>
    <mergeCell ref="K3:L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583B1-D3CA-4398-842D-DC908CD391A5}">
  <dimension ref="D1:R16"/>
  <sheetViews>
    <sheetView workbookViewId="0">
      <selection activeCell="N49" sqref="N49"/>
    </sheetView>
  </sheetViews>
  <sheetFormatPr defaultColWidth="9.109375" defaultRowHeight="12" x14ac:dyDescent="0.25"/>
  <cols>
    <col min="1" max="5" width="9.109375" style="1"/>
    <col min="6" max="6" width="9.109375" style="89"/>
    <col min="7" max="16384" width="9.109375" style="1"/>
  </cols>
  <sheetData>
    <row r="1" spans="4:18" ht="15.6" thickTop="1" thickBot="1" x14ac:dyDescent="0.35">
      <c r="D1" s="141" t="s">
        <v>161</v>
      </c>
      <c r="E1" s="142"/>
      <c r="F1" s="142"/>
      <c r="G1" s="142"/>
      <c r="H1" s="142"/>
      <c r="I1" s="142"/>
      <c r="J1" s="142"/>
      <c r="K1" s="142"/>
      <c r="L1" s="143"/>
    </row>
    <row r="2" spans="4:18" ht="12.6" thickTop="1" x14ac:dyDescent="0.25">
      <c r="D2" s="40"/>
      <c r="E2" s="144" t="s">
        <v>47</v>
      </c>
      <c r="F2" s="145"/>
      <c r="G2" s="145"/>
      <c r="H2" s="145"/>
      <c r="I2" s="145"/>
      <c r="J2" s="145"/>
      <c r="K2" s="166"/>
      <c r="L2" s="167"/>
    </row>
    <row r="3" spans="4:18" x14ac:dyDescent="0.25">
      <c r="D3" s="42"/>
      <c r="E3" s="158" t="s">
        <v>41</v>
      </c>
      <c r="F3" s="159"/>
      <c r="H3" s="160" t="s">
        <v>42</v>
      </c>
      <c r="I3" s="159"/>
      <c r="K3" s="161" t="s">
        <v>43</v>
      </c>
      <c r="L3" s="170"/>
      <c r="R3" s="12"/>
    </row>
    <row r="4" spans="4:18" x14ac:dyDescent="0.25">
      <c r="D4" s="48" t="s">
        <v>1</v>
      </c>
      <c r="E4" s="49" t="s">
        <v>2</v>
      </c>
      <c r="F4" s="102">
        <v>0.45992</v>
      </c>
      <c r="H4" s="51" t="s">
        <v>27</v>
      </c>
      <c r="I4" s="71">
        <v>-2.5449999999999999</v>
      </c>
      <c r="K4" s="51" t="s">
        <v>31</v>
      </c>
      <c r="L4" s="71">
        <v>3.5640000000000001</v>
      </c>
      <c r="R4" s="12"/>
    </row>
    <row r="5" spans="4:18" x14ac:dyDescent="0.25">
      <c r="D5" s="48" t="s">
        <v>49</v>
      </c>
      <c r="E5" s="49" t="s">
        <v>3</v>
      </c>
      <c r="F5" s="102">
        <v>-8.9139999999999997E-2</v>
      </c>
      <c r="H5" s="52"/>
      <c r="I5" s="72"/>
      <c r="K5" s="51"/>
      <c r="L5" s="71"/>
    </row>
    <row r="6" spans="4:18" x14ac:dyDescent="0.25">
      <c r="D6" s="48" t="s">
        <v>48</v>
      </c>
      <c r="E6" s="49" t="s">
        <v>4</v>
      </c>
      <c r="F6" s="102">
        <v>-9.9989999999999996E-2</v>
      </c>
      <c r="H6" s="51" t="s">
        <v>28</v>
      </c>
      <c r="I6" s="71">
        <v>0</v>
      </c>
      <c r="K6" s="51" t="s">
        <v>32</v>
      </c>
      <c r="L6" s="65"/>
    </row>
    <row r="7" spans="4:18" x14ac:dyDescent="0.25">
      <c r="D7" s="48" t="s">
        <v>50</v>
      </c>
      <c r="E7" s="49" t="s">
        <v>5</v>
      </c>
      <c r="F7" s="102">
        <v>0</v>
      </c>
      <c r="H7" s="51" t="s">
        <v>29</v>
      </c>
      <c r="I7" s="71">
        <v>0</v>
      </c>
      <c r="K7" s="51" t="s">
        <v>26</v>
      </c>
      <c r="L7" s="53"/>
    </row>
    <row r="8" spans="4:18" x14ac:dyDescent="0.25">
      <c r="D8" s="48" t="s">
        <v>51</v>
      </c>
      <c r="E8" s="49" t="s">
        <v>6</v>
      </c>
      <c r="F8" s="102">
        <v>0</v>
      </c>
      <c r="H8" s="51" t="s">
        <v>30</v>
      </c>
      <c r="I8" s="71">
        <v>0</v>
      </c>
      <c r="K8" s="51"/>
      <c r="L8" s="53"/>
    </row>
    <row r="9" spans="4:18" x14ac:dyDescent="0.25">
      <c r="D9" s="48" t="s">
        <v>52</v>
      </c>
      <c r="E9" s="49" t="s">
        <v>38</v>
      </c>
      <c r="F9" s="102">
        <v>0</v>
      </c>
      <c r="H9" s="51" t="s">
        <v>44</v>
      </c>
      <c r="I9" s="71">
        <v>0</v>
      </c>
      <c r="K9" s="51"/>
      <c r="L9" s="53"/>
    </row>
    <row r="10" spans="4:18" x14ac:dyDescent="0.25">
      <c r="D10" s="56"/>
      <c r="E10" s="57"/>
      <c r="F10" s="95"/>
      <c r="H10" s="59"/>
      <c r="I10" s="58"/>
      <c r="K10" s="59"/>
      <c r="L10" s="62"/>
    </row>
    <row r="13" spans="4:18" x14ac:dyDescent="0.25">
      <c r="D13" s="2" t="s">
        <v>157</v>
      </c>
      <c r="E13" s="7"/>
    </row>
    <row r="14" spans="4:18" ht="14.4" x14ac:dyDescent="0.3">
      <c r="D14" s="1" t="s">
        <v>173</v>
      </c>
      <c r="I14" s="117" t="s">
        <v>146</v>
      </c>
    </row>
    <row r="15" spans="4:18" ht="14.4" x14ac:dyDescent="0.3">
      <c r="D15" s="1" t="s">
        <v>174</v>
      </c>
      <c r="I15" s="118"/>
      <c r="L15" s="12"/>
    </row>
    <row r="16" spans="4:18" ht="14.4" x14ac:dyDescent="0.3">
      <c r="D16" s="1" t="s">
        <v>37</v>
      </c>
      <c r="I16" s="117" t="s">
        <v>155</v>
      </c>
      <c r="L16" s="12"/>
      <c r="R16" s="12"/>
    </row>
  </sheetData>
  <mergeCells count="5">
    <mergeCell ref="D1:L1"/>
    <mergeCell ref="E2:L2"/>
    <mergeCell ref="E3:F3"/>
    <mergeCell ref="H3:I3"/>
    <mergeCell ref="K3:L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834D3-38B6-4E5E-B506-5060B78407A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15</vt:i4>
      </vt:variant>
    </vt:vector>
  </HeadingPairs>
  <TitlesOfParts>
    <vt:vector size="15" baseType="lpstr">
      <vt:lpstr>FEV1 males</vt:lpstr>
      <vt:lpstr>FVC males</vt:lpstr>
      <vt:lpstr>FEV1FVC males</vt:lpstr>
      <vt:lpstr>FEF2575 males</vt:lpstr>
      <vt:lpstr>FEF75 males</vt:lpstr>
      <vt:lpstr>FEV1 females</vt:lpstr>
      <vt:lpstr>FVC females</vt:lpstr>
      <vt:lpstr>FEV1FVC females</vt:lpstr>
      <vt:lpstr>FEF2575 females</vt:lpstr>
      <vt:lpstr>FEF75 females</vt:lpstr>
      <vt:lpstr>FEV075 males</vt:lpstr>
      <vt:lpstr>FEV075 females</vt:lpstr>
      <vt:lpstr>FEV075FVC males</vt:lpstr>
      <vt:lpstr>FEV075FVC females</vt:lpstr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Noa Diskin</cp:lastModifiedBy>
  <dcterms:created xsi:type="dcterms:W3CDTF">2011-02-25T06:54:37Z</dcterms:created>
  <dcterms:modified xsi:type="dcterms:W3CDTF">2025-06-02T10:27:05Z</dcterms:modified>
</cp:coreProperties>
</file>